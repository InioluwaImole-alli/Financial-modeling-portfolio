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mole\Downloads\"/>
    </mc:Choice>
  </mc:AlternateContent>
  <xr:revisionPtr revIDLastSave="0" documentId="13_ncr:1_{2002F922-26F0-4A1B-BE79-4B874EDD7193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Model" sheetId="1" r:id="rId1"/>
    <sheet name="Assumption sheet" sheetId="2" r:id="rId2"/>
    <sheet name="DCF" sheetId="4" r:id="rId3"/>
    <sheet name="Scenario sheet" sheetId="3" r:id="rId4"/>
  </sheets>
  <definedNames>
    <definedName name="l_scenario">'Scenario sheet'!$B$7:$B$9</definedName>
    <definedName name="S_scenario">'Scenario sheet'!$D$7</definedName>
  </definedNames>
  <calcPr calcId="191029" iterate="1" iterateCount="100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4" l="1"/>
  <c r="G3" i="4"/>
  <c r="D18" i="4"/>
  <c r="D75" i="4"/>
  <c r="D74" i="4"/>
  <c r="F58" i="4"/>
  <c r="G58" i="4"/>
  <c r="H58" i="4"/>
  <c r="I58" i="4"/>
  <c r="E58" i="4"/>
  <c r="F52" i="4"/>
  <c r="G52" i="4"/>
  <c r="H52" i="4"/>
  <c r="I52" i="4"/>
  <c r="E52" i="4"/>
  <c r="F51" i="4"/>
  <c r="G51" i="4"/>
  <c r="H51" i="4"/>
  <c r="F48" i="4"/>
  <c r="G48" i="4"/>
  <c r="H48" i="4"/>
  <c r="I48" i="4"/>
  <c r="E48" i="4"/>
  <c r="D19" i="4"/>
  <c r="I24" i="3" l="1" a="1"/>
  <c r="I24" i="3" s="1"/>
  <c r="H24" i="3" a="1"/>
  <c r="H24" i="3" s="1"/>
  <c r="I8" i="2" s="1"/>
  <c r="G24" i="3" a="1"/>
  <c r="G24" i="3" s="1"/>
  <c r="F24" i="3" a="1"/>
  <c r="F24" i="3" s="1"/>
  <c r="G8" i="2" s="1"/>
  <c r="G54" i="2" s="1"/>
  <c r="E24" i="3" a="1"/>
  <c r="E24" i="3" s="1"/>
  <c r="I18" i="3" a="1"/>
  <c r="I18" i="3" s="1"/>
  <c r="J9" i="2" s="1"/>
  <c r="H18" i="3" a="1"/>
  <c r="H18" i="3" s="1"/>
  <c r="G18" i="3" a="1"/>
  <c r="G18" i="3" s="1"/>
  <c r="H9" i="2" s="1"/>
  <c r="H59" i="2" s="1"/>
  <c r="F18" i="3" a="1"/>
  <c r="F18" i="3" s="1"/>
  <c r="E18" i="3" a="1"/>
  <c r="E18" i="3" s="1"/>
  <c r="F9" i="2" s="1"/>
  <c r="I12" i="3" a="1"/>
  <c r="I12" i="3" s="1"/>
  <c r="H12" i="3" a="1"/>
  <c r="H12" i="3" s="1"/>
  <c r="G12" i="3" a="1"/>
  <c r="G12" i="3" s="1"/>
  <c r="F12" i="3" a="1"/>
  <c r="F12" i="3" s="1"/>
  <c r="E12" i="3" a="1"/>
  <c r="E12" i="3" s="1"/>
  <c r="I4" i="3"/>
  <c r="G4" i="3"/>
  <c r="H4" i="3" s="1"/>
  <c r="F4" i="3"/>
  <c r="B123" i="2"/>
  <c r="J116" i="2"/>
  <c r="I116" i="2"/>
  <c r="H116" i="2"/>
  <c r="G116" i="2"/>
  <c r="F116" i="2"/>
  <c r="F115" i="2"/>
  <c r="F117" i="2" s="1"/>
  <c r="J109" i="2"/>
  <c r="I109" i="2"/>
  <c r="H109" i="2"/>
  <c r="G109" i="2"/>
  <c r="F109" i="2"/>
  <c r="F108" i="2"/>
  <c r="F110" i="2" s="1"/>
  <c r="F112" i="2" s="1"/>
  <c r="F123" i="2" s="1"/>
  <c r="F105" i="2"/>
  <c r="F122" i="2" s="1"/>
  <c r="J102" i="2"/>
  <c r="I102" i="2"/>
  <c r="H102" i="2"/>
  <c r="G102" i="2"/>
  <c r="F102" i="2"/>
  <c r="G101" i="2"/>
  <c r="G103" i="2" s="1"/>
  <c r="F101" i="2"/>
  <c r="F103" i="2" s="1"/>
  <c r="F94" i="2"/>
  <c r="E82" i="2"/>
  <c r="D82" i="2"/>
  <c r="D83" i="2" s="1"/>
  <c r="F83" i="2" s="1"/>
  <c r="E81" i="2"/>
  <c r="E83" i="2" s="1"/>
  <c r="D81" i="2"/>
  <c r="B81" i="2"/>
  <c r="E78" i="2"/>
  <c r="E77" i="2"/>
  <c r="D77" i="2"/>
  <c r="D78" i="2" s="1"/>
  <c r="E76" i="2"/>
  <c r="D76" i="2"/>
  <c r="F73" i="2"/>
  <c r="D73" i="2"/>
  <c r="E72" i="2"/>
  <c r="E73" i="2" s="1"/>
  <c r="D72" i="2"/>
  <c r="E71" i="2"/>
  <c r="D71" i="2"/>
  <c r="F64" i="2"/>
  <c r="I54" i="2"/>
  <c r="G52" i="2"/>
  <c r="G53" i="2" s="1"/>
  <c r="F51" i="2"/>
  <c r="G50" i="2"/>
  <c r="G51" i="2" s="1"/>
  <c r="G58" i="2" s="1"/>
  <c r="F50" i="2"/>
  <c r="H26" i="2"/>
  <c r="G26" i="2"/>
  <c r="H14" i="2"/>
  <c r="I9" i="2"/>
  <c r="I59" i="2" s="1"/>
  <c r="G9" i="2"/>
  <c r="J8" i="2"/>
  <c r="J54" i="2" s="1"/>
  <c r="H8" i="2"/>
  <c r="H54" i="2" s="1"/>
  <c r="F8" i="2"/>
  <c r="F54" i="2" s="1"/>
  <c r="I4" i="2"/>
  <c r="J4" i="2" s="1"/>
  <c r="G4" i="2"/>
  <c r="H4" i="2" s="1"/>
  <c r="G106" i="1"/>
  <c r="G89" i="1"/>
  <c r="G96" i="1" s="1"/>
  <c r="K83" i="1"/>
  <c r="J83" i="1"/>
  <c r="I83" i="1"/>
  <c r="H83" i="1"/>
  <c r="G83" i="1"/>
  <c r="K82" i="1"/>
  <c r="J82" i="1"/>
  <c r="I82" i="1"/>
  <c r="H82" i="1"/>
  <c r="G82" i="1"/>
  <c r="G73" i="1"/>
  <c r="E59" i="1"/>
  <c r="F58" i="1"/>
  <c r="F59" i="1" s="1"/>
  <c r="E58" i="1"/>
  <c r="G57" i="1"/>
  <c r="G108" i="2" s="1"/>
  <c r="F51" i="1"/>
  <c r="E51" i="1"/>
  <c r="G50" i="1"/>
  <c r="G49" i="1"/>
  <c r="H49" i="1" s="1"/>
  <c r="I49" i="1" s="1"/>
  <c r="J49" i="1" s="1"/>
  <c r="K49" i="1" s="1"/>
  <c r="F45" i="1"/>
  <c r="E45" i="1"/>
  <c r="G44" i="1"/>
  <c r="H44" i="1" s="1"/>
  <c r="I44" i="1" s="1"/>
  <c r="J44" i="1" s="1"/>
  <c r="K44" i="1" s="1"/>
  <c r="I42" i="1"/>
  <c r="H42" i="1"/>
  <c r="G42" i="1"/>
  <c r="F37" i="1"/>
  <c r="F38" i="1" s="1"/>
  <c r="E37" i="1"/>
  <c r="J35" i="1"/>
  <c r="K35" i="1" s="1"/>
  <c r="I35" i="1"/>
  <c r="H35" i="1"/>
  <c r="G35" i="1"/>
  <c r="F30" i="1"/>
  <c r="E30" i="1"/>
  <c r="H29" i="1"/>
  <c r="I29" i="1" s="1"/>
  <c r="J29" i="1" s="1"/>
  <c r="K29" i="1" s="1"/>
  <c r="G29" i="1"/>
  <c r="E14" i="1"/>
  <c r="E16" i="1" s="1"/>
  <c r="E19" i="1" s="1"/>
  <c r="E21" i="1" s="1"/>
  <c r="H13" i="1"/>
  <c r="I13" i="1" s="1"/>
  <c r="J13" i="1" s="1"/>
  <c r="K13" i="1" s="1"/>
  <c r="G13" i="1"/>
  <c r="G12" i="1"/>
  <c r="H12" i="1" s="1"/>
  <c r="I12" i="1" s="1"/>
  <c r="F10" i="1"/>
  <c r="F14" i="1" s="1"/>
  <c r="F16" i="1" s="1"/>
  <c r="F19" i="1" s="1"/>
  <c r="F21" i="1" s="1"/>
  <c r="E10" i="1"/>
  <c r="G4" i="1"/>
  <c r="H4" i="1" s="1"/>
  <c r="I4" i="1" s="1"/>
  <c r="J4" i="1" s="1"/>
  <c r="K4" i="1" s="1"/>
  <c r="J12" i="1" l="1"/>
  <c r="K12" i="1" s="1"/>
  <c r="G110" i="2"/>
  <c r="H57" i="1" s="1"/>
  <c r="H108" i="2" s="1"/>
  <c r="G78" i="2"/>
  <c r="J42" i="1"/>
  <c r="H50" i="2"/>
  <c r="H51" i="2" s="1"/>
  <c r="I14" i="2"/>
  <c r="G73" i="2"/>
  <c r="E38" i="1"/>
  <c r="H101" i="2"/>
  <c r="H103" i="2" s="1"/>
  <c r="G105" i="2"/>
  <c r="G122" i="2" s="1"/>
  <c r="H50" i="1"/>
  <c r="F119" i="2"/>
  <c r="F125" i="2" s="1"/>
  <c r="G115" i="2"/>
  <c r="F58" i="2"/>
  <c r="F52" i="2"/>
  <c r="F53" i="2" s="1"/>
  <c r="F55" i="2" s="1"/>
  <c r="G83" i="2"/>
  <c r="J59" i="2"/>
  <c r="G59" i="2"/>
  <c r="G60" i="2" s="1"/>
  <c r="H9" i="1" s="1"/>
  <c r="I26" i="2"/>
  <c r="G55" i="2"/>
  <c r="F59" i="2"/>
  <c r="F78" i="2"/>
  <c r="G71" i="2" l="1"/>
  <c r="G72" i="2" s="1"/>
  <c r="H33" i="1" s="1"/>
  <c r="G81" i="2"/>
  <c r="G82" i="2" s="1"/>
  <c r="H54" i="1" s="1"/>
  <c r="I50" i="1"/>
  <c r="H105" i="2"/>
  <c r="H122" i="2" s="1"/>
  <c r="I101" i="2"/>
  <c r="I103" i="2" s="1"/>
  <c r="K42" i="1"/>
  <c r="I78" i="2"/>
  <c r="I50" i="2"/>
  <c r="I51" i="2" s="1"/>
  <c r="J14" i="2"/>
  <c r="J50" i="2" s="1"/>
  <c r="J51" i="2" s="1"/>
  <c r="H110" i="2"/>
  <c r="I57" i="1" s="1"/>
  <c r="I108" i="2" s="1"/>
  <c r="H112" i="2"/>
  <c r="H123" i="2" s="1"/>
  <c r="F65" i="2"/>
  <c r="E51" i="4" s="1"/>
  <c r="G8" i="1"/>
  <c r="G117" i="2"/>
  <c r="H115" i="2" s="1"/>
  <c r="G65" i="2"/>
  <c r="H77" i="1" s="1"/>
  <c r="H78" i="1" s="1"/>
  <c r="H98" i="1" s="1"/>
  <c r="H8" i="1"/>
  <c r="I83" i="2"/>
  <c r="F60" i="2"/>
  <c r="G9" i="1" s="1"/>
  <c r="H73" i="2"/>
  <c r="H78" i="2"/>
  <c r="J26" i="2"/>
  <c r="H83" i="2"/>
  <c r="H58" i="2"/>
  <c r="H60" i="2" s="1"/>
  <c r="I9" i="1" s="1"/>
  <c r="H52" i="2"/>
  <c r="H53" i="2" s="1"/>
  <c r="H55" i="2" s="1"/>
  <c r="G112" i="2"/>
  <c r="G123" i="2" s="1"/>
  <c r="I8" i="1" l="1"/>
  <c r="H65" i="2"/>
  <c r="I77" i="1" s="1"/>
  <c r="I78" i="1" s="1"/>
  <c r="I98" i="1" s="1"/>
  <c r="H117" i="2"/>
  <c r="I115" i="2" s="1"/>
  <c r="G119" i="2"/>
  <c r="G125" i="2" s="1"/>
  <c r="I73" i="2"/>
  <c r="G76" i="2"/>
  <c r="G77" i="2" s="1"/>
  <c r="H34" i="1" s="1"/>
  <c r="H10" i="1"/>
  <c r="H14" i="1" s="1"/>
  <c r="F76" i="2"/>
  <c r="F77" i="2" s="1"/>
  <c r="G34" i="1" s="1"/>
  <c r="G10" i="1"/>
  <c r="G14" i="1" s="1"/>
  <c r="J58" i="2"/>
  <c r="J60" i="2" s="1"/>
  <c r="K9" i="1" s="1"/>
  <c r="J52" i="2"/>
  <c r="J53" i="2" s="1"/>
  <c r="J55" i="2" s="1"/>
  <c r="K8" i="1" s="1"/>
  <c r="J65" i="2"/>
  <c r="I105" i="2"/>
  <c r="I122" i="2" s="1"/>
  <c r="J101" i="2"/>
  <c r="J103" i="2" s="1"/>
  <c r="J50" i="1"/>
  <c r="H81" i="2"/>
  <c r="H82" i="2" s="1"/>
  <c r="I54" i="1" s="1"/>
  <c r="H71" i="2"/>
  <c r="H72" i="2" s="1"/>
  <c r="I33" i="1" s="1"/>
  <c r="I110" i="2"/>
  <c r="J57" i="1" s="1"/>
  <c r="J108" i="2" s="1"/>
  <c r="J83" i="2"/>
  <c r="J78" i="2"/>
  <c r="F81" i="2"/>
  <c r="F82" i="2" s="1"/>
  <c r="G54" i="1" s="1"/>
  <c r="H71" i="1" s="1"/>
  <c r="F71" i="2"/>
  <c r="F72" i="2" s="1"/>
  <c r="G33" i="1" s="1"/>
  <c r="G77" i="1"/>
  <c r="G78" i="1" s="1"/>
  <c r="G98" i="1" s="1"/>
  <c r="F66" i="2"/>
  <c r="G15" i="1" s="1"/>
  <c r="I58" i="2"/>
  <c r="I60" i="2" s="1"/>
  <c r="J9" i="1" s="1"/>
  <c r="I52" i="2"/>
  <c r="I53" i="2" s="1"/>
  <c r="I55" i="2" s="1"/>
  <c r="F67" i="2" l="1"/>
  <c r="G27" i="1" s="1"/>
  <c r="G30" i="1" s="1"/>
  <c r="K77" i="1"/>
  <c r="K78" i="1" s="1"/>
  <c r="K98" i="1" s="1"/>
  <c r="I51" i="4"/>
  <c r="G66" i="1"/>
  <c r="E50" i="4"/>
  <c r="I71" i="1"/>
  <c r="I69" i="1"/>
  <c r="G64" i="2"/>
  <c r="F96" i="2"/>
  <c r="I117" i="2"/>
  <c r="J115" i="2" s="1"/>
  <c r="H76" i="2"/>
  <c r="H77" i="2" s="1"/>
  <c r="I34" i="1" s="1"/>
  <c r="I10" i="1"/>
  <c r="I14" i="1" s="1"/>
  <c r="J110" i="2"/>
  <c r="K57" i="1" s="1"/>
  <c r="J112" i="2"/>
  <c r="J123" i="2" s="1"/>
  <c r="G16" i="1"/>
  <c r="E47" i="4" s="1"/>
  <c r="E49" i="4" s="1"/>
  <c r="J73" i="2"/>
  <c r="J8" i="1"/>
  <c r="I65" i="2"/>
  <c r="J77" i="1" s="1"/>
  <c r="J78" i="1" s="1"/>
  <c r="J98" i="1" s="1"/>
  <c r="I112" i="2"/>
  <c r="I123" i="2" s="1"/>
  <c r="J105" i="2"/>
  <c r="J122" i="2" s="1"/>
  <c r="K50" i="1"/>
  <c r="G70" i="1"/>
  <c r="H70" i="1"/>
  <c r="G71" i="1"/>
  <c r="J81" i="2"/>
  <c r="J82" i="2" s="1"/>
  <c r="K54" i="1" s="1"/>
  <c r="J71" i="2"/>
  <c r="I71" i="2"/>
  <c r="I72" i="2" s="1"/>
  <c r="J33" i="1" s="1"/>
  <c r="I81" i="2"/>
  <c r="I82" i="2" s="1"/>
  <c r="J54" i="1" s="1"/>
  <c r="H69" i="1"/>
  <c r="G69" i="1"/>
  <c r="J76" i="2"/>
  <c r="J77" i="2" s="1"/>
  <c r="K34" i="1" s="1"/>
  <c r="K10" i="1"/>
  <c r="K14" i="1" s="1"/>
  <c r="H119" i="2"/>
  <c r="H125" i="2" s="1"/>
  <c r="E53" i="4" l="1"/>
  <c r="E59" i="4" s="1"/>
  <c r="J69" i="1"/>
  <c r="K71" i="1"/>
  <c r="J72" i="2"/>
  <c r="K33" i="1" s="1"/>
  <c r="K69" i="1" s="1"/>
  <c r="I119" i="2"/>
  <c r="I125" i="2" s="1"/>
  <c r="F95" i="2"/>
  <c r="G94" i="2"/>
  <c r="G48" i="1"/>
  <c r="G51" i="1" s="1"/>
  <c r="J71" i="1"/>
  <c r="I76" i="2"/>
  <c r="I77" i="2" s="1"/>
  <c r="J34" i="1" s="1"/>
  <c r="K70" i="1" s="1"/>
  <c r="J10" i="1"/>
  <c r="J14" i="1" s="1"/>
  <c r="J117" i="2"/>
  <c r="J119" i="2"/>
  <c r="J125" i="2" s="1"/>
  <c r="I70" i="1"/>
  <c r="G66" i="2"/>
  <c r="H15" i="1" s="1"/>
  <c r="F50" i="4" s="1"/>
  <c r="G67" i="2"/>
  <c r="H66" i="1" l="1"/>
  <c r="H16" i="1"/>
  <c r="F47" i="4" s="1"/>
  <c r="F49" i="4" s="1"/>
  <c r="F53" i="4" s="1"/>
  <c r="F59" i="4" s="1"/>
  <c r="G96" i="2"/>
  <c r="H64" i="2"/>
  <c r="H27" i="1"/>
  <c r="H30" i="1" s="1"/>
  <c r="J70" i="1"/>
  <c r="F90" i="2"/>
  <c r="G67" i="1"/>
  <c r="H94" i="2" l="1"/>
  <c r="G95" i="2"/>
  <c r="H48" i="1"/>
  <c r="H51" i="1" s="1"/>
  <c r="H66" i="2"/>
  <c r="I15" i="1" s="1"/>
  <c r="G50" i="4" s="1"/>
  <c r="H67" i="2" l="1"/>
  <c r="H96" i="2" s="1"/>
  <c r="I66" i="1"/>
  <c r="I16" i="1"/>
  <c r="G47" i="4" s="1"/>
  <c r="G49" i="4" s="1"/>
  <c r="G53" i="4" s="1"/>
  <c r="G59" i="4" s="1"/>
  <c r="G90" i="2"/>
  <c r="H67" i="1"/>
  <c r="I64" i="2" l="1"/>
  <c r="I66" i="2" s="1"/>
  <c r="J15" i="1" s="1"/>
  <c r="H50" i="4" s="1"/>
  <c r="I27" i="1"/>
  <c r="I30" i="1" s="1"/>
  <c r="H95" i="2"/>
  <c r="I94" i="2"/>
  <c r="I48" i="1"/>
  <c r="I51" i="1" s="1"/>
  <c r="I67" i="2" l="1"/>
  <c r="J64" i="2" s="1"/>
  <c r="I67" i="1"/>
  <c r="H90" i="2"/>
  <c r="J66" i="1"/>
  <c r="J16" i="1"/>
  <c r="H47" i="4" s="1"/>
  <c r="H49" i="4" s="1"/>
  <c r="H53" i="4" s="1"/>
  <c r="H59" i="4" s="1"/>
  <c r="I96" i="2" l="1"/>
  <c r="I95" i="2" s="1"/>
  <c r="J27" i="1"/>
  <c r="J30" i="1" s="1"/>
  <c r="J66" i="2"/>
  <c r="K15" i="1" s="1"/>
  <c r="I50" i="4" s="1"/>
  <c r="J94" i="2" l="1"/>
  <c r="J48" i="1"/>
  <c r="J51" i="1" s="1"/>
  <c r="K66" i="1"/>
  <c r="K16" i="1"/>
  <c r="I47" i="4" s="1"/>
  <c r="I49" i="4" s="1"/>
  <c r="I53" i="4" s="1"/>
  <c r="J67" i="2"/>
  <c r="I90" i="2"/>
  <c r="J67" i="1"/>
  <c r="D64" i="4" l="1"/>
  <c r="D65" i="4" s="1"/>
  <c r="D66" i="4" s="1"/>
  <c r="D69" i="4" s="1"/>
  <c r="D73" i="4" s="1"/>
  <c r="I59" i="4"/>
  <c r="D61" i="4" s="1"/>
  <c r="J96" i="2"/>
  <c r="K27" i="1"/>
  <c r="K30" i="1" s="1"/>
  <c r="G5" i="4" l="1"/>
  <c r="D76" i="4"/>
  <c r="J95" i="2"/>
  <c r="K48" i="1"/>
  <c r="K51" i="1" s="1"/>
  <c r="D79" i="4" l="1"/>
  <c r="G6" i="4"/>
  <c r="J90" i="2"/>
  <c r="K67" i="1"/>
  <c r="F88" i="2"/>
  <c r="G88" i="2"/>
  <c r="H88" i="2"/>
  <c r="I88" i="2"/>
  <c r="J88" i="2"/>
  <c r="F89" i="2"/>
  <c r="G89" i="2"/>
  <c r="H89" i="2"/>
  <c r="I89" i="2"/>
  <c r="J89" i="2"/>
  <c r="F91" i="2"/>
  <c r="G91" i="2"/>
  <c r="H91" i="2"/>
  <c r="I91" i="2"/>
  <c r="J91" i="2"/>
  <c r="F124" i="2"/>
  <c r="G124" i="2"/>
  <c r="H124" i="2"/>
  <c r="I124" i="2"/>
  <c r="J124" i="2"/>
  <c r="F126" i="2"/>
  <c r="G126" i="2"/>
  <c r="H126" i="2"/>
  <c r="I126" i="2"/>
  <c r="J126" i="2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43" i="1"/>
  <c r="H43" i="1"/>
  <c r="I43" i="1"/>
  <c r="J43" i="1"/>
  <c r="K43" i="1"/>
  <c r="G45" i="1"/>
  <c r="H45" i="1"/>
  <c r="I45" i="1"/>
  <c r="J45" i="1"/>
  <c r="K45" i="1"/>
  <c r="G55" i="1"/>
  <c r="H55" i="1"/>
  <c r="I55" i="1"/>
  <c r="J55" i="1"/>
  <c r="K55" i="1"/>
  <c r="G56" i="1"/>
  <c r="H56" i="1"/>
  <c r="I56" i="1"/>
  <c r="J56" i="1"/>
  <c r="K56" i="1"/>
  <c r="G58" i="1"/>
  <c r="H58" i="1"/>
  <c r="I58" i="1"/>
  <c r="J58" i="1"/>
  <c r="K58" i="1"/>
  <c r="G59" i="1"/>
  <c r="H59" i="1"/>
  <c r="I59" i="1"/>
  <c r="J59" i="1"/>
  <c r="K59" i="1"/>
  <c r="G64" i="1"/>
  <c r="H64" i="1"/>
  <c r="I64" i="1"/>
  <c r="J64" i="1"/>
  <c r="K64" i="1"/>
  <c r="H73" i="1"/>
  <c r="I73" i="1"/>
  <c r="J73" i="1"/>
  <c r="K73" i="1"/>
  <c r="G74" i="1"/>
  <c r="H74" i="1"/>
  <c r="I74" i="1"/>
  <c r="J74" i="1"/>
  <c r="K74" i="1"/>
  <c r="G81" i="1"/>
  <c r="H81" i="1"/>
  <c r="I81" i="1"/>
  <c r="J81" i="1"/>
  <c r="K81" i="1"/>
  <c r="G84" i="1"/>
  <c r="H84" i="1"/>
  <c r="I84" i="1"/>
  <c r="J84" i="1"/>
  <c r="K84" i="1"/>
  <c r="G85" i="1"/>
  <c r="H85" i="1"/>
  <c r="I85" i="1"/>
  <c r="J85" i="1"/>
  <c r="K85" i="1"/>
  <c r="G88" i="1"/>
  <c r="H88" i="1"/>
  <c r="I88" i="1"/>
  <c r="J88" i="1"/>
  <c r="K88" i="1"/>
  <c r="H89" i="1"/>
  <c r="I89" i="1"/>
  <c r="J89" i="1"/>
  <c r="K89" i="1"/>
  <c r="G90" i="1"/>
  <c r="H90" i="1"/>
  <c r="I90" i="1"/>
  <c r="J90" i="1"/>
  <c r="K90" i="1"/>
  <c r="H96" i="1"/>
  <c r="I96" i="1"/>
  <c r="J96" i="1"/>
  <c r="K96" i="1"/>
  <c r="G97" i="1"/>
  <c r="H97" i="1"/>
  <c r="I97" i="1"/>
  <c r="J97" i="1"/>
  <c r="K97" i="1"/>
  <c r="G99" i="1"/>
  <c r="H99" i="1"/>
  <c r="I99" i="1"/>
  <c r="J99" i="1"/>
  <c r="K99" i="1"/>
  <c r="G100" i="1"/>
  <c r="H100" i="1"/>
  <c r="I100" i="1"/>
  <c r="J100" i="1"/>
  <c r="K100" i="1"/>
  <c r="G104" i="1"/>
  <c r="H104" i="1"/>
  <c r="I104" i="1"/>
  <c r="J104" i="1"/>
  <c r="K104" i="1"/>
  <c r="G105" i="1"/>
  <c r="H105" i="1"/>
  <c r="I105" i="1"/>
  <c r="J105" i="1"/>
  <c r="K105" i="1"/>
  <c r="H106" i="1"/>
  <c r="I106" i="1"/>
  <c r="J106" i="1"/>
  <c r="K106" i="1"/>
  <c r="G107" i="1"/>
  <c r="H107" i="1"/>
  <c r="I107" i="1"/>
  <c r="J107" i="1"/>
  <c r="K107" i="1"/>
  <c r="G108" i="1"/>
  <c r="H108" i="1"/>
  <c r="I108" i="1"/>
  <c r="J108" i="1"/>
  <c r="K1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000-000001000000}">
      <text>
        <r>
          <rPr>
            <sz val="10"/>
            <rFont val="Arial"/>
            <family val="2"/>
          </rPr>
          <t xml:space="preserve">inioluwa imole-alli:
</t>
        </r>
      </text>
    </comment>
  </commentList>
</comments>
</file>

<file path=xl/sharedStrings.xml><?xml version="1.0" encoding="utf-8"?>
<sst xmlns="http://schemas.openxmlformats.org/spreadsheetml/2006/main" count="311" uniqueCount="243">
  <si>
    <t>Geregu PLC</t>
  </si>
  <si>
    <t>Financial Forecast 2026- 2030</t>
  </si>
  <si>
    <t xml:space="preserve">INCOME STATEMENT </t>
  </si>
  <si>
    <t>Revenue</t>
  </si>
  <si>
    <t xml:space="preserve">Cost of Sales </t>
  </si>
  <si>
    <t xml:space="preserve">Gross Profit </t>
  </si>
  <si>
    <t>Other Income / (Loss)</t>
  </si>
  <si>
    <t xml:space="preserve">SG&amp;A Expenses </t>
  </si>
  <si>
    <t>Impairment Charge on Financial Assets</t>
  </si>
  <si>
    <t>EBITDA</t>
  </si>
  <si>
    <t>Total Depreciation &amp; Amortization (D&amp;A)</t>
  </si>
  <si>
    <t>Operating Profit (EBIT)</t>
  </si>
  <si>
    <t>Finance Income</t>
  </si>
  <si>
    <t>Finance Cost</t>
  </si>
  <si>
    <t>Profit Before Income Tax (PBT)</t>
  </si>
  <si>
    <t>Income Tax Expense</t>
  </si>
  <si>
    <t>Profit for the Year (Net Income)</t>
  </si>
  <si>
    <t>BALANCE SHEET</t>
  </si>
  <si>
    <t>ASSETS</t>
  </si>
  <si>
    <t>Non-Current Assets</t>
  </si>
  <si>
    <t>Property, Plant and Equipment</t>
  </si>
  <si>
    <t>Intangible Assets</t>
  </si>
  <si>
    <t>Defined Benefit Plan Asset</t>
  </si>
  <si>
    <t>Total Non-Current Assets</t>
  </si>
  <si>
    <t>Current Assets</t>
  </si>
  <si>
    <t>Inventories</t>
  </si>
  <si>
    <t>Trade and Other Receivables</t>
  </si>
  <si>
    <t>Other Current Assets</t>
  </si>
  <si>
    <t>Cash and Cash Equivalents</t>
  </si>
  <si>
    <t>Total Current Assets</t>
  </si>
  <si>
    <t>TOTAL ASSETS</t>
  </si>
  <si>
    <t>EQUITY AND LIABILITIES</t>
  </si>
  <si>
    <t>Equity</t>
  </si>
  <si>
    <t>Share Capital</t>
  </si>
  <si>
    <t>Retained Earnings</t>
  </si>
  <si>
    <t>Actuarial Reserves</t>
  </si>
  <si>
    <t>Total Equity</t>
  </si>
  <si>
    <t>Non-Current Liabilities</t>
  </si>
  <si>
    <t>Deferred Tax Liabilities</t>
  </si>
  <si>
    <t>Borrowings (Non-Current)</t>
  </si>
  <si>
    <t>Bond Payable (Non-Current)</t>
  </si>
  <si>
    <t>Total Non-Current Liabilities</t>
  </si>
  <si>
    <t>Current Liabilities</t>
  </si>
  <si>
    <t>Trade and Other Payables</t>
  </si>
  <si>
    <t>Tax Payable</t>
  </si>
  <si>
    <t>Borrowings (Current)</t>
  </si>
  <si>
    <t>Bond Payable (Current)</t>
  </si>
  <si>
    <t>Total Current Liabilities</t>
  </si>
  <si>
    <t>TOTAL EQUITY AND LIABILITIES</t>
  </si>
  <si>
    <t>Cash Flow Line Item</t>
  </si>
  <si>
    <t>1. CASH FLOW FROM OPERATING ACTIVITIES</t>
  </si>
  <si>
    <t>Profit Before Tax (PBT)</t>
  </si>
  <si>
    <t>N'000</t>
  </si>
  <si>
    <t>Adjustments for Non-Cash Items:</t>
  </si>
  <si>
    <t>+ Depreciation &amp; Amortization</t>
  </si>
  <si>
    <t>+/- Deferred Tax Expense / (Benefit)</t>
  </si>
  <si>
    <t>Changes in Operating Working Capital:</t>
  </si>
  <si>
    <t>+/- Change in Inventory</t>
  </si>
  <si>
    <t>+/- Change in Trade Receivables</t>
  </si>
  <si>
    <t>+/- Change in Trade Payables</t>
  </si>
  <si>
    <t xml:space="preserve">Finance cost </t>
  </si>
  <si>
    <t>Less: Cash Taxes Paid to FIRS</t>
  </si>
  <si>
    <t>Net Cash Generated from Operating Activities (CFO)</t>
  </si>
  <si>
    <t>2. CASH FLOW FROM INVESTING ACTIVITIES</t>
  </si>
  <si>
    <t>Capital expenditure</t>
  </si>
  <si>
    <t>Net Cash Used in Investing Activities (CFI)</t>
  </si>
  <si>
    <t>3. CASH FLOW FROM FINANCING ACTIVITIES</t>
  </si>
  <si>
    <t>+/- Net Drawdown / (Repayment) of Revolver</t>
  </si>
  <si>
    <t>Less: LT Borrowings Principal Repayment</t>
  </si>
  <si>
    <t>Less: Annual Corporate Bond Repayment</t>
  </si>
  <si>
    <t>Less: Dividends Paid (75% Payout)</t>
  </si>
  <si>
    <t>Net Cash Used in Financing Activities (CFF)</t>
  </si>
  <si>
    <t>4. NET CASH RECONCILIATION BLOCK</t>
  </si>
  <si>
    <t>Net Increase / (Decrease) in Cash &amp; Equivalents</t>
  </si>
  <si>
    <t>Plus: Opening Cash &amp; Equivalents Balance</t>
  </si>
  <si>
    <t>Closing Cash &amp; Equivalents Balance (BS)</t>
  </si>
  <si>
    <t>Revolver Calculation Block</t>
  </si>
  <si>
    <t>A. PRE-REVOLVER CASH POSITION</t>
  </si>
  <si>
    <t>Opening Cash Balance</t>
  </si>
  <si>
    <t>+ Net Operating Cash Flow (CFO)</t>
  </si>
  <si>
    <t>+/- Net Investing Cash Flow (CFI)</t>
  </si>
  <si>
    <t>− CFF Outflows (Excluding Revolver)</t>
  </si>
  <si>
    <t>Preliminary Cash Before Revolver</t>
  </si>
  <si>
    <t>B. THE REVOLVER LIQUIDITY VALVE</t>
  </si>
  <si>
    <t>Target Minimum Cash Buffer</t>
  </si>
  <si>
    <t>Required Revolver Drawdown</t>
  </si>
  <si>
    <t xml:space="preserve">Excess cash </t>
  </si>
  <si>
    <t>Opening Revolver Outstanding Balance</t>
  </si>
  <si>
    <t xml:space="preserve">Revolver repayment </t>
  </si>
  <si>
    <t>Closing Revolver Balance (BS)</t>
  </si>
  <si>
    <t>Assumption &amp; calculations</t>
  </si>
  <si>
    <t>ASSUMPTIONS &amp; DRIVERS</t>
  </si>
  <si>
    <t>Macroeconomic Drivers</t>
  </si>
  <si>
    <t>USD / NGN Exchange Rate</t>
  </si>
  <si>
    <t>NGN/USD</t>
  </si>
  <si>
    <t>Fully Loaded Gas Price (incl. Shrinkage &amp; Levies)</t>
  </si>
  <si>
    <t>USD/Mscf</t>
  </si>
  <si>
    <t>Plant Operational Drivers</t>
  </si>
  <si>
    <t>Installed Capacity</t>
  </si>
  <si>
    <t>MW</t>
  </si>
  <si>
    <t>Plant Availability Factor</t>
  </si>
  <si>
    <t>%</t>
  </si>
  <si>
    <t>Plant Load Factor (PLF) / Dispatch Rate</t>
  </si>
  <si>
    <t>Operating Hours</t>
  </si>
  <si>
    <t>Hours</t>
  </si>
  <si>
    <t>Auxiliary Consumption Rate</t>
  </si>
  <si>
    <t>Transmission Loss Factor (TLF)</t>
  </si>
  <si>
    <t>Plant Heat Rate Efficiency</t>
  </si>
  <si>
    <t>Mscf/MWh</t>
  </si>
  <si>
    <t>Regulated Pricing Tariffs</t>
  </si>
  <si>
    <t>Wholesale Energy Tariff</t>
  </si>
  <si>
    <t>NGN/kWh</t>
  </si>
  <si>
    <t>Capacity Charge Rate</t>
  </si>
  <si>
    <t>USD/MW/Hour</t>
  </si>
  <si>
    <t>PP&amp;E Assumptions &amp; Drivers</t>
  </si>
  <si>
    <t>Routine Maintenance Capex</t>
  </si>
  <si>
    <t>% of Rev</t>
  </si>
  <si>
    <t>Major Overhaul / Turnaround Spend</t>
  </si>
  <si>
    <t>Implied Depreciation Rate</t>
  </si>
  <si>
    <t xml:space="preserve">Dividend pay out ratio </t>
  </si>
  <si>
    <t xml:space="preserve">Capital allowance rate </t>
  </si>
  <si>
    <t>% of dep</t>
  </si>
  <si>
    <t>Blended Income Tax Rate</t>
  </si>
  <si>
    <t>Deferred Tax Provision Rate</t>
  </si>
  <si>
    <t>% of PP&amp;E</t>
  </si>
  <si>
    <t>Bank Borrowings Drivers</t>
  </si>
  <si>
    <t>Commercial Bank Borrowing Rate</t>
  </si>
  <si>
    <t>LT Borrowings Principal Repayment</t>
  </si>
  <si>
    <t>Corporate Bond Drivers</t>
  </si>
  <si>
    <t>Bond Coupon Rate (Fixed)</t>
  </si>
  <si>
    <t>Bond Payable (Current Liability)</t>
  </si>
  <si>
    <t>Bond Payable (Non-Current Liability)</t>
  </si>
  <si>
    <t>Calculation</t>
  </si>
  <si>
    <t xml:space="preserve">Revenue calculation </t>
  </si>
  <si>
    <t xml:space="preserve">Gross power generation </t>
  </si>
  <si>
    <t xml:space="preserve">Net enegry sent out </t>
  </si>
  <si>
    <t xml:space="preserve">Net billable energy </t>
  </si>
  <si>
    <t xml:space="preserve">Energy sold revenue </t>
  </si>
  <si>
    <t xml:space="preserve">Capacity charge revenue </t>
  </si>
  <si>
    <t xml:space="preserve">Total revenue </t>
  </si>
  <si>
    <t xml:space="preserve">COS calculation </t>
  </si>
  <si>
    <t xml:space="preserve">Total gas volume </t>
  </si>
  <si>
    <t xml:space="preserve">Fully loaded gas price </t>
  </si>
  <si>
    <t>Total COS</t>
  </si>
  <si>
    <t xml:space="preserve">PPE Schedule </t>
  </si>
  <si>
    <t xml:space="preserve">Opening Balance </t>
  </si>
  <si>
    <t xml:space="preserve">Depreciation </t>
  </si>
  <si>
    <t xml:space="preserve">Ending balance </t>
  </si>
  <si>
    <t>Inventory</t>
  </si>
  <si>
    <t>COS</t>
  </si>
  <si>
    <t xml:space="preserve">Inventory </t>
  </si>
  <si>
    <t>Days</t>
  </si>
  <si>
    <t xml:space="preserve">Receivable </t>
  </si>
  <si>
    <t xml:space="preserve">Receivables </t>
  </si>
  <si>
    <t xml:space="preserve">Payables </t>
  </si>
  <si>
    <t xml:space="preserve">Days </t>
  </si>
  <si>
    <t>Current Tax Schedule</t>
  </si>
  <si>
    <t>Company Income Tax Provision (30%)</t>
  </si>
  <si>
    <t xml:space="preserve">Deffered tax lability </t>
  </si>
  <si>
    <t>Total Current Tax Expense</t>
  </si>
  <si>
    <t xml:space="preserve">Deferred tax iability </t>
  </si>
  <si>
    <t xml:space="preserve">Opening balance </t>
  </si>
  <si>
    <t xml:space="preserve">Increase/decrease </t>
  </si>
  <si>
    <t xml:space="preserve">Closing balance </t>
  </si>
  <si>
    <t xml:space="preserve">Borrowings </t>
  </si>
  <si>
    <t>Opening balance</t>
  </si>
  <si>
    <t xml:space="preserve">Repayment </t>
  </si>
  <si>
    <t xml:space="preserve">Closing Balance </t>
  </si>
  <si>
    <t>Interest expense</t>
  </si>
  <si>
    <t>LT Borrowings</t>
  </si>
  <si>
    <t>Non current bond</t>
  </si>
  <si>
    <t xml:space="preserve">Interest on revolver </t>
  </si>
  <si>
    <t>Interest on lt borrowings</t>
  </si>
  <si>
    <t xml:space="preserve">Interest expense </t>
  </si>
  <si>
    <t xml:space="preserve">Scenario sheet </t>
  </si>
  <si>
    <t>Base Case</t>
  </si>
  <si>
    <t>Bull Case</t>
  </si>
  <si>
    <t xml:space="preserve">Bear Case </t>
  </si>
  <si>
    <t xml:space="preserve">Inflation </t>
  </si>
  <si>
    <t xml:space="preserve">Used in model </t>
  </si>
  <si>
    <t>Fully Loaded Gas Price Matrix</t>
  </si>
  <si>
    <t xml:space="preserve">USD / NGN Exchange Rate </t>
  </si>
  <si>
    <t>Key Outputs</t>
  </si>
  <si>
    <t>WACC</t>
  </si>
  <si>
    <t>Terminal Growth Rate (g)</t>
  </si>
  <si>
    <t>Nigeria Country Risk</t>
  </si>
  <si>
    <t>Nigeria Default Spread (adj. for equity market volatility)</t>
  </si>
  <si>
    <t>Nigeria Country Risk Premium (CRP)</t>
  </si>
  <si>
    <t>Nigeria Total Equity Risk Premium  (=  Mature Market ERP + Nigeria CRP)</t>
  </si>
  <si>
    <t>Risk-Free Rate, NGN  (=  Rf US$ + Nigeria Default Spread)</t>
  </si>
  <si>
    <t>Beta</t>
  </si>
  <si>
    <t>Power Industry Unlevered Beta (Global comparables)</t>
  </si>
  <si>
    <t>Geregu Total Interest-Bearing Debt (FY2025A, book value, N'000)</t>
  </si>
  <si>
    <t>Geregu Total Equity (FY2025A, book value, N'000)</t>
  </si>
  <si>
    <t>Debt / Equity (book value, FY2025A)</t>
  </si>
  <si>
    <t>Marginal Tax Rate (linked to 3-statement model)</t>
  </si>
  <si>
    <t>Relevered Beta  (=  Unlevered β × [1 + (1−t) × D/E])</t>
  </si>
  <si>
    <t>Cost of Equity</t>
  </si>
  <si>
    <t>Cost of Equity (Ke)  =  Rf,NGN + Relevered β × Nigeria Total ERP</t>
  </si>
  <si>
    <t>Average Total Debt (FY2024A–FY2025A)</t>
  </si>
  <si>
    <t>Pre-Tax Cost of Debt (Kd)  =  Finance Cost / Average Total Debt</t>
  </si>
  <si>
    <t>After-Tax Cost of Debt  =  Kd × (1 − t)</t>
  </si>
  <si>
    <t>Capital Structure Weights (book value, FY2025A)</t>
  </si>
  <si>
    <t>Weight of Debt,  D / (D+E)</t>
  </si>
  <si>
    <t>Weight of Equity,  E / (D+E)</t>
  </si>
  <si>
    <t>WACC  =  (E/V × Ke)  +  (D/V × Kd × (1−t))</t>
  </si>
  <si>
    <t>Terminal Growth Rate</t>
  </si>
  <si>
    <t>Terminal Growth Rate (g)  —  capped at Risk-Free Rate, NGN</t>
  </si>
  <si>
    <t>Fiscal Year</t>
  </si>
  <si>
    <t>EBIT  (Operating Profit)</t>
  </si>
  <si>
    <t>Tax Rate (linked to Assumption sheet)</t>
  </si>
  <si>
    <t>NOPAT  =  EBIT × (1 − Tax Rate)</t>
  </si>
  <si>
    <t>Unlevered Free Cash Flow (FCFF)</t>
  </si>
  <si>
    <t>3.  DISCOUNTING &amp; TERMINAL VALUE</t>
  </si>
  <si>
    <t>Discount Period (n)</t>
  </si>
  <si>
    <t>Discount Factor  =  1 / (1+WACC)^n</t>
  </si>
  <si>
    <t>PV of FCFF</t>
  </si>
  <si>
    <t>Sum of PV — Explicit Period (FY2026–FY2030)</t>
  </si>
  <si>
    <t>Terminal Value</t>
  </si>
  <si>
    <t>Terminal Value  =  FCFF2030 × (1+g) / (WACC − g)</t>
  </si>
  <si>
    <t>PV of Terminal Value  =  TV × Discount Factor, FY2030</t>
  </si>
  <si>
    <t>Terminal Value as % of Enterprise Value</t>
  </si>
  <si>
    <t>Enterprise Value  =  Sum PV(FCFF) + PV(Terminal Value)</t>
  </si>
  <si>
    <t>4.  BRIDGE TO EQUITY VALUE PER SHARE</t>
  </si>
  <si>
    <t>Enterprise Value</t>
  </si>
  <si>
    <t xml:space="preserve">2.  UNLEVERED FREE CASH FLOW (FCFF) </t>
  </si>
  <si>
    <t xml:space="preserve">1.  COST OF CAPITAL  </t>
  </si>
  <si>
    <t xml:space="preserve">Cash &amp; Cash Equivalents </t>
  </si>
  <si>
    <t xml:space="preserve">Equity Value  </t>
  </si>
  <si>
    <t xml:space="preserve">Shares Outstanding  </t>
  </si>
  <si>
    <t xml:space="preserve">Value per Share  </t>
  </si>
  <si>
    <t xml:space="preserve">Total Debt </t>
  </si>
  <si>
    <t xml:space="preserve">FCFF, FY2030 </t>
  </si>
  <si>
    <t>Change in Net Working Capital</t>
  </si>
  <si>
    <t xml:space="preserve"> Capital Expenditure</t>
  </si>
  <si>
    <t>Depreciation &amp; Amortization</t>
  </si>
  <si>
    <t xml:space="preserve">2024Total Interest-Bearing Debt </t>
  </si>
  <si>
    <t xml:space="preserve">2025 Total Interest-Bearing Debt </t>
  </si>
  <si>
    <t>2025 Finance Cost (interest expense)</t>
  </si>
  <si>
    <t xml:space="preserve">Discounted Cash Flow Valuation </t>
  </si>
  <si>
    <t xml:space="preserve">Current market Price par share </t>
  </si>
  <si>
    <t xml:space="preserve">Enterprise Value </t>
  </si>
  <si>
    <t xml:space="preserve">Equity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</si>
</sst>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##0&quot; A&quot;;\(#,##0.&quot;),&quot;"/>
    <numFmt numFmtId="166" formatCode="###0&quot; E&quot;;\(#,##0.\)"/>
    <numFmt numFmtId="167" formatCode="###0&quot; A&quot;;\(#,##0.\)"/>
    <numFmt numFmtId="168" formatCode="###0&quot;E&quot;;\(#,##0.00\)"/>
    <numFmt numFmtId="169" formatCode="#,##0.0000000"/>
  </numFmts>
  <fonts count="5" x14ac:knownFonts="1">
    <font>
      <sz val="11"/>
      <color theme="1"/>
      <name val="Aptos Narrow"/>
      <family val="2"/>
      <charset val="1"/>
    </font>
    <font>
      <b/>
      <u/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name val="Arial"/>
      <family val="2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164" fontId="0" fillId="0" borderId="0"/>
    <xf numFmtId="10" fontId="4" fillId="0" borderId="0"/>
  </cellStyleXfs>
  <cellXfs count="14">
    <xf numFmtId="164" fontId="0" fillId="0" borderId="0" xfId="0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Font="1"/>
    <xf numFmtId="164" fontId="0" fillId="0" borderId="1" xfId="0" applyBorder="1"/>
    <xf numFmtId="164" fontId="0" fillId="0" borderId="2" xfId="0" applyBorder="1"/>
    <xf numFmtId="164" fontId="0" fillId="0" borderId="3" xfId="0" applyBorder="1"/>
    <xf numFmtId="164" fontId="2" fillId="0" borderId="0" xfId="0" applyFont="1"/>
    <xf numFmtId="167" fontId="0" fillId="0" borderId="0" xfId="0" applyNumberFormat="1"/>
    <xf numFmtId="10" fontId="4" fillId="0" borderId="0" xfId="1"/>
    <xf numFmtId="2" fontId="4" fillId="0" borderId="0" xfId="1" applyNumberFormat="1"/>
    <xf numFmtId="168" fontId="0" fillId="0" borderId="0" xfId="0" applyNumberFormat="1"/>
    <xf numFmtId="169" fontId="0" fillId="0" borderId="0" xfId="0" applyNumberFormat="1"/>
  </cellXfs>
  <cellStyles count="2">
    <cellStyle name="Normal" xfId="0" builtinId="0"/>
    <cellStyle name="Percent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Style="combo" dx="22" fmlaLink="S_scenario" fmlaRange="l_scenario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</xdr:row>
          <xdr:rowOff>171450</xdr:rowOff>
        </xdr:from>
        <xdr:to>
          <xdr:col>4</xdr:col>
          <xdr:colOff>0</xdr:colOff>
          <xdr:row>6</xdr:row>
          <xdr:rowOff>180975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8"/>
  <sheetViews>
    <sheetView topLeftCell="A37" zoomScaleNormal="100" workbookViewId="0">
      <selection activeCell="F47" sqref="F47"/>
    </sheetView>
  </sheetViews>
  <sheetFormatPr defaultColWidth="8.5703125" defaultRowHeight="15" x14ac:dyDescent="0.25"/>
  <cols>
    <col min="1" max="1" width="2.5703125" style="1" customWidth="1"/>
    <col min="2" max="2" width="37" style="1" customWidth="1"/>
    <col min="5" max="6" width="18.7109375" style="1" customWidth="1"/>
    <col min="7" max="7" width="18" style="1" bestFit="1" customWidth="1"/>
    <col min="8" max="11" width="15.28515625" style="1" customWidth="1"/>
  </cols>
  <sheetData>
    <row r="2" spans="2:11" x14ac:dyDescent="0.25">
      <c r="B2" t="s">
        <v>0</v>
      </c>
    </row>
    <row r="3" spans="2:11" x14ac:dyDescent="0.25">
      <c r="B3" t="s">
        <v>1</v>
      </c>
    </row>
    <row r="4" spans="2:11" x14ac:dyDescent="0.25">
      <c r="E4" s="2">
        <v>2024</v>
      </c>
      <c r="F4" s="2">
        <v>2025</v>
      </c>
      <c r="G4" s="3">
        <f>F4+1</f>
        <v>2026</v>
      </c>
      <c r="H4" s="3">
        <f>G4+1</f>
        <v>2027</v>
      </c>
      <c r="I4" s="3">
        <f>H4+1</f>
        <v>2028</v>
      </c>
      <c r="J4" s="3">
        <f>I4+1</f>
        <v>2029</v>
      </c>
      <c r="K4" s="3">
        <f>J4+1</f>
        <v>2030</v>
      </c>
    </row>
    <row r="6" spans="2:11" x14ac:dyDescent="0.25">
      <c r="B6" s="4" t="s">
        <v>2</v>
      </c>
    </row>
    <row r="8" spans="2:11" x14ac:dyDescent="0.25">
      <c r="B8" t="s">
        <v>3</v>
      </c>
      <c r="E8">
        <v>137126532</v>
      </c>
      <c r="F8">
        <v>184935803</v>
      </c>
      <c r="G8">
        <f>'Assumption sheet'!F55</f>
        <v>223979965.04159999</v>
      </c>
      <c r="H8">
        <f>'Assumption sheet'!G55</f>
        <v>250095346.26749998</v>
      </c>
      <c r="I8">
        <f>'Assumption sheet'!H55</f>
        <v>271041347.55599999</v>
      </c>
      <c r="J8">
        <f>'Assumption sheet'!I55</f>
        <v>292570930.80270004</v>
      </c>
      <c r="K8">
        <f>'Assumption sheet'!J55</f>
        <v>314684096.00759995</v>
      </c>
    </row>
    <row r="9" spans="2:11" x14ac:dyDescent="0.25">
      <c r="B9" t="s">
        <v>4</v>
      </c>
      <c r="E9">
        <v>-69865917</v>
      </c>
      <c r="F9">
        <v>-100416543</v>
      </c>
      <c r="G9">
        <f>-'Assumption sheet'!F60</f>
        <v>-127040916.63744</v>
      </c>
      <c r="H9">
        <f>-'Assumption sheet'!G60</f>
        <v>-142840276.696125</v>
      </c>
      <c r="I9">
        <f>-'Assumption sheet'!H60</f>
        <v>-155761341.96140999</v>
      </c>
      <c r="J9">
        <f>-'Assumption sheet'!I60</f>
        <v>-169088722.87368599</v>
      </c>
      <c r="K9">
        <f>-'Assumption sheet'!J60</f>
        <v>-182823495.05101502</v>
      </c>
    </row>
    <row r="10" spans="2:11" x14ac:dyDescent="0.25">
      <c r="B10" t="s">
        <v>5</v>
      </c>
      <c r="E10" s="5">
        <f t="shared" ref="E10:K10" si="0">SUM(E8:E9)</f>
        <v>67260615</v>
      </c>
      <c r="F10" s="5">
        <f t="shared" si="0"/>
        <v>84519260</v>
      </c>
      <c r="G10" s="5">
        <f t="shared" si="0"/>
        <v>96939048.404159993</v>
      </c>
      <c r="H10" s="5">
        <f t="shared" si="0"/>
        <v>107255069.57137498</v>
      </c>
      <c r="I10" s="5">
        <f t="shared" si="0"/>
        <v>115280005.59459001</v>
      </c>
      <c r="J10" s="5">
        <f t="shared" si="0"/>
        <v>123482207.92901406</v>
      </c>
      <c r="K10" s="5">
        <f t="shared" si="0"/>
        <v>131860600.95658493</v>
      </c>
    </row>
    <row r="11" spans="2:11" x14ac:dyDescent="0.25">
      <c r="B11" t="s">
        <v>6</v>
      </c>
      <c r="E11">
        <v>-583766</v>
      </c>
      <c r="F11">
        <v>1804896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2:11" x14ac:dyDescent="0.25">
      <c r="B12" t="s">
        <v>7</v>
      </c>
      <c r="E12">
        <v>-9354039</v>
      </c>
      <c r="F12">
        <v>-17414424</v>
      </c>
      <c r="G12">
        <f>F12*(1+'Scenario sheet'!E12)</f>
        <v>-20549020.32</v>
      </c>
      <c r="H12">
        <f>G12*(1+'Scenario sheet'!F12)</f>
        <v>-23631373.367999997</v>
      </c>
      <c r="I12">
        <f>H12*(1+'Scenario sheet'!G12)</f>
        <v>-26467138.17216</v>
      </c>
      <c r="J12">
        <f>I12*(1+'Scenario sheet'!H12)</f>
        <v>-29113851.989376001</v>
      </c>
      <c r="K12">
        <f>J12*(1+'Scenario sheet'!I12)</f>
        <v>-31879667.928366721</v>
      </c>
    </row>
    <row r="13" spans="2:11" x14ac:dyDescent="0.25">
      <c r="B13" t="s">
        <v>8</v>
      </c>
      <c r="E13">
        <v>-9401952</v>
      </c>
      <c r="F13">
        <v>-10046707</v>
      </c>
      <c r="G13">
        <f>F13</f>
        <v>-10046707</v>
      </c>
      <c r="H13">
        <f>G13</f>
        <v>-10046707</v>
      </c>
      <c r="I13">
        <f>H13</f>
        <v>-10046707</v>
      </c>
      <c r="J13">
        <f>I13</f>
        <v>-10046707</v>
      </c>
      <c r="K13">
        <f>J13</f>
        <v>-10046707</v>
      </c>
    </row>
    <row r="14" spans="2:11" x14ac:dyDescent="0.25">
      <c r="B14" t="s">
        <v>9</v>
      </c>
      <c r="E14" s="5">
        <f t="shared" ref="E14:K14" si="1">SUM(E10:E13)</f>
        <v>47920858</v>
      </c>
      <c r="F14" s="5">
        <f t="shared" si="1"/>
        <v>58863025</v>
      </c>
      <c r="G14" s="5">
        <f t="shared" si="1"/>
        <v>66343321.08416</v>
      </c>
      <c r="H14" s="5">
        <f t="shared" si="1"/>
        <v>73576989.203374982</v>
      </c>
      <c r="I14" s="5">
        <f t="shared" si="1"/>
        <v>78766160.422430009</v>
      </c>
      <c r="J14" s="5">
        <f t="shared" si="1"/>
        <v>84321648.939638048</v>
      </c>
      <c r="K14" s="5">
        <f t="shared" si="1"/>
        <v>89934226.02821821</v>
      </c>
    </row>
    <row r="15" spans="2:11" x14ac:dyDescent="0.25">
      <c r="B15" t="s">
        <v>10</v>
      </c>
      <c r="E15">
        <v>-4968135</v>
      </c>
      <c r="F15">
        <v>-10713581</v>
      </c>
      <c r="G15">
        <f>'Assumption sheet'!F66</f>
        <v>-9731551.6237812005</v>
      </c>
      <c r="H15">
        <f>'Assumption sheet'!G66</f>
        <v>-8827196.1185461562</v>
      </c>
      <c r="I15">
        <f>'Assumption sheet'!H66</f>
        <v>-8107690.7722757002</v>
      </c>
      <c r="J15">
        <f>'Assumption sheet'!I66</f>
        <v>-7583393.3362062769</v>
      </c>
      <c r="K15">
        <f>'Assumption sheet'!J66</f>
        <v>-7344766.8460368263</v>
      </c>
    </row>
    <row r="16" spans="2:11" x14ac:dyDescent="0.25">
      <c r="B16" t="s">
        <v>11</v>
      </c>
      <c r="E16" s="5">
        <f t="shared" ref="E16:K16" si="2">SUM(E14:E15)</f>
        <v>42952723</v>
      </c>
      <c r="F16" s="5">
        <f t="shared" si="2"/>
        <v>48149444</v>
      </c>
      <c r="G16" s="5">
        <f t="shared" si="2"/>
        <v>56611769.460378796</v>
      </c>
      <c r="H16" s="5">
        <f t="shared" si="2"/>
        <v>64749793.084828824</v>
      </c>
      <c r="I16" s="5">
        <f t="shared" si="2"/>
        <v>70658469.650154307</v>
      </c>
      <c r="J16" s="5">
        <f t="shared" si="2"/>
        <v>76738255.603431776</v>
      </c>
      <c r="K16" s="5">
        <f t="shared" si="2"/>
        <v>82589459.182181388</v>
      </c>
    </row>
    <row r="17" spans="2:11" x14ac:dyDescent="0.25">
      <c r="B17" t="s">
        <v>12</v>
      </c>
      <c r="E17">
        <v>8540399</v>
      </c>
      <c r="F17">
        <v>6425133</v>
      </c>
      <c r="G17">
        <f ca="1">15%*(AVERAGE(F36:G36))</f>
        <v>2426003.6249999995</v>
      </c>
      <c r="H17">
        <f ca="1">15%*(AVERAGE(G36:H36))</f>
        <v>74999.999999999432</v>
      </c>
      <c r="I17">
        <f ca="1">15%*(AVERAGE(H36:I36))</f>
        <v>239671.02533022442</v>
      </c>
      <c r="J17">
        <f ca="1">15%*(AVERAGE(I36:J36))</f>
        <v>239671.02533022442</v>
      </c>
      <c r="K17">
        <f ca="1">15%*(AVERAGE(J36:K36))</f>
        <v>166175.193064747</v>
      </c>
    </row>
    <row r="18" spans="2:11" x14ac:dyDescent="0.25">
      <c r="B18" t="s">
        <v>13</v>
      </c>
      <c r="E18">
        <v>-10227034</v>
      </c>
      <c r="F18">
        <v>-12589544</v>
      </c>
      <c r="G18">
        <f ca="1">-'Assumption sheet'!F126</f>
        <v>-14956551.860237744</v>
      </c>
      <c r="H18">
        <f ca="1">-'Assumption sheet'!G126</f>
        <v>-16192792.959371641</v>
      </c>
      <c r="I18">
        <f ca="1">-'Assumption sheet'!H126</f>
        <v>-15897467.426278323</v>
      </c>
      <c r="J18">
        <f ca="1">-'Assumption sheet'!I126</f>
        <v>-13932953.216979137</v>
      </c>
      <c r="K18">
        <f ca="1">-'Assumption sheet'!J126</f>
        <v>-11354314.528765317</v>
      </c>
    </row>
    <row r="19" spans="2:11" x14ac:dyDescent="0.25">
      <c r="B19" t="s">
        <v>14</v>
      </c>
      <c r="E19" s="5">
        <f t="shared" ref="E19:K19" si="3">SUM(E16:E18)</f>
        <v>41266088</v>
      </c>
      <c r="F19" s="5">
        <f t="shared" si="3"/>
        <v>41985033</v>
      </c>
      <c r="G19" s="5">
        <f t="shared" ca="1" si="3"/>
        <v>44081221.225141048</v>
      </c>
      <c r="H19" s="5">
        <f t="shared" ca="1" si="3"/>
        <v>48632000.125457183</v>
      </c>
      <c r="I19" s="5">
        <f t="shared" ca="1" si="3"/>
        <v>55000673.249206215</v>
      </c>
      <c r="J19" s="5">
        <f t="shared" ca="1" si="3"/>
        <v>63044973.411782868</v>
      </c>
      <c r="K19" s="5">
        <f t="shared" ca="1" si="3"/>
        <v>71401319.846480817</v>
      </c>
    </row>
    <row r="20" spans="2:11" x14ac:dyDescent="0.25">
      <c r="B20" t="s">
        <v>15</v>
      </c>
      <c r="E20">
        <v>-13841019</v>
      </c>
      <c r="F20">
        <v>-14734530</v>
      </c>
      <c r="G20">
        <f ca="1">-'Assumption sheet'!F91</f>
        <v>-14387835.758146044</v>
      </c>
      <c r="H20">
        <f ca="1">-'Assumption sheet'!G91</f>
        <v>-16230334.087183423</v>
      </c>
      <c r="I20">
        <f ca="1">-'Assumption sheet'!H91</f>
        <v>-18472340.903961997</v>
      </c>
      <c r="J20">
        <f ca="1">-'Assumption sheet'!I91</f>
        <v>-21275198.858082924</v>
      </c>
      <c r="K20">
        <f ca="1">-'Assumption sheet'!J91</f>
        <v>-24259957.247001342</v>
      </c>
    </row>
    <row r="21" spans="2:11" x14ac:dyDescent="0.25">
      <c r="B21" t="s">
        <v>16</v>
      </c>
      <c r="E21" s="6">
        <f t="shared" ref="E21:K21" si="4">SUM(E19:E20)</f>
        <v>27425069</v>
      </c>
      <c r="F21" s="7">
        <f t="shared" si="4"/>
        <v>27250503</v>
      </c>
      <c r="G21" s="7">
        <f t="shared" ca="1" si="4"/>
        <v>29693385.466995005</v>
      </c>
      <c r="H21" s="7">
        <f t="shared" ca="1" si="4"/>
        <v>32401666.038273759</v>
      </c>
      <c r="I21" s="7">
        <f t="shared" ca="1" si="4"/>
        <v>36528332.345244214</v>
      </c>
      <c r="J21" s="7">
        <f t="shared" ca="1" si="4"/>
        <v>41769774.55369994</v>
      </c>
      <c r="K21" s="7">
        <f t="shared" ca="1" si="4"/>
        <v>47141362.599479474</v>
      </c>
    </row>
    <row r="23" spans="2:11" x14ac:dyDescent="0.25">
      <c r="B23" s="4" t="s">
        <v>17</v>
      </c>
    </row>
    <row r="25" spans="2:11" x14ac:dyDescent="0.25">
      <c r="B25" s="8" t="s">
        <v>18</v>
      </c>
    </row>
    <row r="26" spans="2:11" x14ac:dyDescent="0.25">
      <c r="B26" s="8" t="s">
        <v>19</v>
      </c>
    </row>
    <row r="27" spans="2:11" x14ac:dyDescent="0.25">
      <c r="B27" t="s">
        <v>20</v>
      </c>
      <c r="E27">
        <v>72657733</v>
      </c>
      <c r="F27">
        <v>63050211</v>
      </c>
      <c r="G27">
        <f>'Assumption sheet'!F67</f>
        <v>56972259.026634797</v>
      </c>
      <c r="H27">
        <f>'Assumption sheet'!G67</f>
        <v>51896493.10210114</v>
      </c>
      <c r="I27">
        <f>'Assumption sheet'!H67</f>
        <v>48098359.755965836</v>
      </c>
      <c r="J27">
        <f>'Assumption sheet'!I67</f>
        <v>45430158.057244919</v>
      </c>
      <c r="K27">
        <f>'Assumption sheet'!J67</f>
        <v>45155299.710542612</v>
      </c>
    </row>
    <row r="28" spans="2:11" x14ac:dyDescent="0.25">
      <c r="B28" t="s">
        <v>21</v>
      </c>
      <c r="E28">
        <v>29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2:11" x14ac:dyDescent="0.25">
      <c r="B29" t="s">
        <v>22</v>
      </c>
      <c r="E29">
        <v>11967</v>
      </c>
      <c r="F29">
        <v>50272</v>
      </c>
      <c r="G29">
        <f>F29</f>
        <v>50272</v>
      </c>
      <c r="H29">
        <f>G29</f>
        <v>50272</v>
      </c>
      <c r="I29">
        <f>H29</f>
        <v>50272</v>
      </c>
      <c r="J29">
        <f>I29</f>
        <v>50272</v>
      </c>
      <c r="K29">
        <f>J29</f>
        <v>50272</v>
      </c>
    </row>
    <row r="30" spans="2:11" x14ac:dyDescent="0.25">
      <c r="B30" t="s">
        <v>23</v>
      </c>
      <c r="E30">
        <f t="shared" ref="E30:K30" si="5">SUM(E27:E29)</f>
        <v>72669729</v>
      </c>
      <c r="F30">
        <f t="shared" si="5"/>
        <v>63100483</v>
      </c>
      <c r="G30">
        <f t="shared" si="5"/>
        <v>57022531.026634797</v>
      </c>
      <c r="H30">
        <f t="shared" si="5"/>
        <v>51946765.10210114</v>
      </c>
      <c r="I30">
        <f t="shared" si="5"/>
        <v>48148631.755965836</v>
      </c>
      <c r="J30">
        <f t="shared" si="5"/>
        <v>45480430.057244919</v>
      </c>
      <c r="K30">
        <f t="shared" si="5"/>
        <v>45205571.710542612</v>
      </c>
    </row>
    <row r="32" spans="2:11" x14ac:dyDescent="0.25">
      <c r="B32" s="8" t="s">
        <v>24</v>
      </c>
    </row>
    <row r="33" spans="2:11" x14ac:dyDescent="0.25">
      <c r="B33" t="s">
        <v>25</v>
      </c>
      <c r="E33">
        <v>623675</v>
      </c>
      <c r="F33">
        <v>1314923</v>
      </c>
      <c r="G33">
        <f>'Assumption sheet'!F72</f>
        <v>1398811.1220374431</v>
      </c>
      <c r="H33">
        <f>'Assumption sheet'!G72</f>
        <v>1721610.8884727724</v>
      </c>
      <c r="I33">
        <f>'Assumption sheet'!H72</f>
        <v>1796194.0475958784</v>
      </c>
      <c r="J33">
        <f>'Assumption sheet'!I72</f>
        <v>1993928.5023197993</v>
      </c>
      <c r="K33">
        <f>'Assumption sheet'!J72</f>
        <v>2132079.2846240033</v>
      </c>
    </row>
    <row r="34" spans="2:11" x14ac:dyDescent="0.25">
      <c r="B34" t="s">
        <v>26</v>
      </c>
      <c r="E34">
        <v>121820410</v>
      </c>
      <c r="F34">
        <v>201108440</v>
      </c>
      <c r="G34">
        <f>'Assumption sheet'!F77</f>
        <v>221273120.01146597</v>
      </c>
      <c r="H34">
        <f>'Assumption sheet'!G77</f>
        <v>259519538.52286083</v>
      </c>
      <c r="I34">
        <f>'Assumption sheet'!H77</f>
        <v>274510295.5845319</v>
      </c>
      <c r="J34">
        <f>'Assumption sheet'!I77</f>
        <v>299955566.06734937</v>
      </c>
      <c r="K34">
        <f>'Assumption sheet'!J77</f>
        <v>320669244.17598456</v>
      </c>
    </row>
    <row r="35" spans="2:11" x14ac:dyDescent="0.25">
      <c r="B35" t="s">
        <v>27</v>
      </c>
      <c r="E35">
        <v>8420962</v>
      </c>
      <c r="F35">
        <v>7634826</v>
      </c>
      <c r="G35">
        <f>F35</f>
        <v>7634826</v>
      </c>
      <c r="H35">
        <f>G35</f>
        <v>7634826</v>
      </c>
      <c r="I35">
        <f>H35</f>
        <v>7634826</v>
      </c>
      <c r="J35">
        <f>I35</f>
        <v>7634826</v>
      </c>
      <c r="K35">
        <f>J35</f>
        <v>7634826</v>
      </c>
    </row>
    <row r="36" spans="2:11" x14ac:dyDescent="0.25">
      <c r="B36" t="s">
        <v>28</v>
      </c>
      <c r="E36">
        <v>39935627</v>
      </c>
      <c r="F36">
        <v>31846715</v>
      </c>
      <c r="G36">
        <f ca="1">G90</f>
        <v>499999.99999999627</v>
      </c>
      <c r="H36">
        <f ca="1">H90</f>
        <v>499999.99999999627</v>
      </c>
      <c r="I36">
        <f ca="1">I90</f>
        <v>2695613.671069663</v>
      </c>
      <c r="J36">
        <f ca="1">J90</f>
        <v>499999.99999999627</v>
      </c>
      <c r="K36">
        <f ca="1">K90</f>
        <v>1715669.2408632971</v>
      </c>
    </row>
    <row r="37" spans="2:11" x14ac:dyDescent="0.25">
      <c r="B37" t="s">
        <v>29</v>
      </c>
      <c r="E37">
        <f t="shared" ref="E37:K37" si="6">SUM(E33:E36)</f>
        <v>170800674</v>
      </c>
      <c r="F37">
        <f t="shared" si="6"/>
        <v>241904904</v>
      </c>
      <c r="G37">
        <f t="shared" ca="1" si="6"/>
        <v>230806757.13350341</v>
      </c>
      <c r="H37">
        <f t="shared" ca="1" si="6"/>
        <v>269375975.41133356</v>
      </c>
      <c r="I37">
        <f t="shared" ca="1" si="6"/>
        <v>286636929.30319744</v>
      </c>
      <c r="J37">
        <f t="shared" ca="1" si="6"/>
        <v>310084320.56966919</v>
      </c>
      <c r="K37">
        <f t="shared" ca="1" si="6"/>
        <v>332151818.70147187</v>
      </c>
    </row>
    <row r="38" spans="2:11" x14ac:dyDescent="0.25">
      <c r="B38" t="s">
        <v>30</v>
      </c>
      <c r="E38">
        <f t="shared" ref="E38:K38" si="7">E37+E30</f>
        <v>243470403</v>
      </c>
      <c r="F38">
        <f t="shared" si="7"/>
        <v>305005387</v>
      </c>
      <c r="G38">
        <f t="shared" ca="1" si="7"/>
        <v>287829288.16013819</v>
      </c>
      <c r="H38">
        <f t="shared" ca="1" si="7"/>
        <v>321322740.51343471</v>
      </c>
      <c r="I38">
        <f t="shared" ca="1" si="7"/>
        <v>334785561.05916327</v>
      </c>
      <c r="J38">
        <f t="shared" ca="1" si="7"/>
        <v>355564750.62691408</v>
      </c>
      <c r="K38">
        <f t="shared" ca="1" si="7"/>
        <v>377357390.41201448</v>
      </c>
    </row>
    <row r="40" spans="2:11" x14ac:dyDescent="0.25">
      <c r="B40" s="8" t="s">
        <v>31</v>
      </c>
    </row>
    <row r="41" spans="2:11" x14ac:dyDescent="0.25">
      <c r="B41" s="8" t="s">
        <v>32</v>
      </c>
    </row>
    <row r="42" spans="2:11" x14ac:dyDescent="0.25">
      <c r="B42" t="s">
        <v>33</v>
      </c>
      <c r="E42">
        <v>1250000</v>
      </c>
      <c r="F42">
        <v>1250000</v>
      </c>
      <c r="G42">
        <f>F42</f>
        <v>1250000</v>
      </c>
      <c r="H42">
        <f>G42</f>
        <v>1250000</v>
      </c>
      <c r="I42">
        <f>H42</f>
        <v>1250000</v>
      </c>
      <c r="J42">
        <f>I42</f>
        <v>1250000</v>
      </c>
      <c r="K42">
        <f>J42</f>
        <v>1250000</v>
      </c>
    </row>
    <row r="43" spans="2:11" x14ac:dyDescent="0.25">
      <c r="B43" t="s">
        <v>34</v>
      </c>
      <c r="E43">
        <v>51344328</v>
      </c>
      <c r="F43">
        <v>57344831</v>
      </c>
      <c r="G43">
        <f ca="1">F43+(25%*G21)</f>
        <v>64768177.36674875</v>
      </c>
      <c r="H43">
        <f ca="1">G43+(25%*H21)</f>
        <v>72868593.876317188</v>
      </c>
      <c r="I43">
        <f ca="1">H43+(25%*I21)</f>
        <v>82000676.962628245</v>
      </c>
      <c r="J43">
        <f ca="1">I43+(25%*J21)</f>
        <v>92443120.601053238</v>
      </c>
      <c r="K43">
        <f ca="1">J43+(25%*K21)</f>
        <v>104228461.25092311</v>
      </c>
    </row>
    <row r="44" spans="2:11" x14ac:dyDescent="0.25">
      <c r="B44" t="s">
        <v>35</v>
      </c>
      <c r="E44">
        <v>-29408</v>
      </c>
      <c r="F44">
        <v>33169</v>
      </c>
      <c r="G44">
        <f>F44</f>
        <v>33169</v>
      </c>
      <c r="H44">
        <f>G44</f>
        <v>33169</v>
      </c>
      <c r="I44">
        <f>H44</f>
        <v>33169</v>
      </c>
      <c r="J44">
        <f>I44</f>
        <v>33169</v>
      </c>
      <c r="K44">
        <f>J44</f>
        <v>33169</v>
      </c>
    </row>
    <row r="45" spans="2:11" x14ac:dyDescent="0.25">
      <c r="B45" t="s">
        <v>36</v>
      </c>
      <c r="E45">
        <f t="shared" ref="E45:K45" si="8">SUM(E42:E44)</f>
        <v>52564920</v>
      </c>
      <c r="F45">
        <f t="shared" si="8"/>
        <v>58628000</v>
      </c>
      <c r="G45">
        <f t="shared" ca="1" si="8"/>
        <v>66051346.36674875</v>
      </c>
      <c r="H45">
        <f t="shared" ca="1" si="8"/>
        <v>74151762.876317188</v>
      </c>
      <c r="I45">
        <f t="shared" ca="1" si="8"/>
        <v>83283845.962628245</v>
      </c>
      <c r="J45">
        <f t="shared" ca="1" si="8"/>
        <v>93726289.601053238</v>
      </c>
      <c r="K45">
        <f t="shared" ca="1" si="8"/>
        <v>105511630.25092311</v>
      </c>
    </row>
    <row r="47" spans="2:11" x14ac:dyDescent="0.25">
      <c r="B47" s="8" t="s">
        <v>37</v>
      </c>
      <c r="F47"/>
      <c r="G47" s="13"/>
    </row>
    <row r="48" spans="2:11" x14ac:dyDescent="0.25">
      <c r="B48" t="s">
        <v>38</v>
      </c>
      <c r="E48">
        <v>6979747</v>
      </c>
      <c r="F48">
        <v>4018115</v>
      </c>
      <c r="G48">
        <f>'Assumption sheet'!F96</f>
        <v>3418335.5415980876</v>
      </c>
      <c r="H48">
        <f>'Assumption sheet'!G96</f>
        <v>3113789.5861260681</v>
      </c>
      <c r="I48">
        <f>'Assumption sheet'!H96</f>
        <v>2885901.5853579501</v>
      </c>
      <c r="J48">
        <f>'Assumption sheet'!I96</f>
        <v>2725809.4834346953</v>
      </c>
      <c r="K48">
        <f>'Assumption sheet'!J96</f>
        <v>2709317.9826325565</v>
      </c>
    </row>
    <row r="49" spans="2:11" x14ac:dyDescent="0.25">
      <c r="B49" t="s">
        <v>39</v>
      </c>
      <c r="E49">
        <v>8483200</v>
      </c>
      <c r="F49">
        <v>4013538</v>
      </c>
      <c r="G49">
        <f>F49-'Assumption sheet'!F37</f>
        <v>3210830.4</v>
      </c>
      <c r="H49">
        <f>G49-'Assumption sheet'!G37</f>
        <v>2408122.7999999998</v>
      </c>
      <c r="I49">
        <f>H49-'Assumption sheet'!H37</f>
        <v>1605415.1999999997</v>
      </c>
      <c r="J49">
        <f>I49-'Assumption sheet'!I37</f>
        <v>802707.59999999974</v>
      </c>
      <c r="K49">
        <f>J49-'Assumption sheet'!J37</f>
        <v>0</v>
      </c>
    </row>
    <row r="50" spans="2:11" x14ac:dyDescent="0.25">
      <c r="B50" t="s">
        <v>40</v>
      </c>
      <c r="E50">
        <v>32068000</v>
      </c>
      <c r="F50">
        <v>24180959</v>
      </c>
      <c r="G50">
        <f>'Assumption sheet'!F103</f>
        <v>19344767.199999999</v>
      </c>
      <c r="H50">
        <f>'Assumption sheet'!G103</f>
        <v>14508575.399999999</v>
      </c>
      <c r="I50">
        <f>'Assumption sheet'!H103</f>
        <v>9672383.5999999978</v>
      </c>
      <c r="J50">
        <f>'Assumption sheet'!I103</f>
        <v>4836191.799999998</v>
      </c>
      <c r="K50">
        <f>'Assumption sheet'!J103</f>
        <v>0</v>
      </c>
    </row>
    <row r="51" spans="2:11" x14ac:dyDescent="0.25">
      <c r="B51" t="s">
        <v>41</v>
      </c>
      <c r="E51">
        <f t="shared" ref="E51:K51" si="9">SUM(E48:E50)</f>
        <v>47530947</v>
      </c>
      <c r="F51">
        <f t="shared" si="9"/>
        <v>32212612</v>
      </c>
      <c r="G51">
        <f t="shared" si="9"/>
        <v>25973933.141598087</v>
      </c>
      <c r="H51">
        <f t="shared" si="9"/>
        <v>20030487.786126066</v>
      </c>
      <c r="I51">
        <f t="shared" si="9"/>
        <v>14163700.385357948</v>
      </c>
      <c r="J51">
        <f t="shared" si="9"/>
        <v>8364708.8834346924</v>
      </c>
      <c r="K51">
        <f t="shared" si="9"/>
        <v>2709317.9826325565</v>
      </c>
    </row>
    <row r="53" spans="2:11" x14ac:dyDescent="0.25">
      <c r="B53" s="8" t="s">
        <v>42</v>
      </c>
    </row>
    <row r="54" spans="2:11" x14ac:dyDescent="0.25">
      <c r="B54" t="s">
        <v>43</v>
      </c>
      <c r="E54">
        <v>98135076</v>
      </c>
      <c r="F54">
        <v>136855640</v>
      </c>
      <c r="G54">
        <f>'Assumption sheet'!F82</f>
        <v>127630419.70401004</v>
      </c>
      <c r="H54">
        <f>'Assumption sheet'!G82</f>
        <v>142420901.95551932</v>
      </c>
      <c r="I54">
        <f>'Assumption sheet'!H82</f>
        <v>155894073.33666268</v>
      </c>
      <c r="J54">
        <f>'Assumption sheet'!I82</f>
        <v>168912547.3041043</v>
      </c>
      <c r="K54">
        <f>'Assumption sheet'!J82</f>
        <v>182806148.19208184</v>
      </c>
    </row>
    <row r="55" spans="2:11" x14ac:dyDescent="0.25">
      <c r="B55" t="s">
        <v>44</v>
      </c>
      <c r="E55">
        <v>19970405</v>
      </c>
      <c r="F55">
        <v>37416567</v>
      </c>
      <c r="G55">
        <f ca="1">-G20</f>
        <v>14387835.758146044</v>
      </c>
      <c r="H55">
        <f ca="1">-H20</f>
        <v>16230334.087183423</v>
      </c>
      <c r="I55">
        <f ca="1">-I20</f>
        <v>18472340.903961997</v>
      </c>
      <c r="J55">
        <f ca="1">-J20</f>
        <v>21275198.858082924</v>
      </c>
      <c r="K55">
        <f ca="1">-K20</f>
        <v>24259957.247001342</v>
      </c>
    </row>
    <row r="56" spans="2:11" x14ac:dyDescent="0.25">
      <c r="B56" t="s">
        <v>45</v>
      </c>
      <c r="E56">
        <v>14682950</v>
      </c>
      <c r="F56">
        <v>29926449</v>
      </c>
      <c r="G56">
        <f ca="1">G108</f>
        <v>47141673.856301948</v>
      </c>
      <c r="H56">
        <f ca="1">H108</f>
        <v>65167214.141622081</v>
      </c>
      <c r="I56">
        <f ca="1">I108</f>
        <v>62971600.470552422</v>
      </c>
      <c r="J56">
        <f ca="1">J108</f>
        <v>63286005.980238959</v>
      </c>
      <c r="K56">
        <f ca="1">K108</f>
        <v>62070336.739375658</v>
      </c>
    </row>
    <row r="57" spans="2:11" x14ac:dyDescent="0.25">
      <c r="B57" t="s">
        <v>46</v>
      </c>
      <c r="E57">
        <v>10586125</v>
      </c>
      <c r="F57">
        <v>9966119</v>
      </c>
      <c r="G57">
        <f>'Assumption sheet'!F110</f>
        <v>6644079.3333333302</v>
      </c>
      <c r="H57">
        <f>'Assumption sheet'!G110</f>
        <v>3322039.6666666605</v>
      </c>
      <c r="I57">
        <f>'Assumption sheet'!H110</f>
        <v>-9.3132257461547852E-9</v>
      </c>
      <c r="J57">
        <f>'Assumption sheet'!I110</f>
        <v>-9.3132257461547852E-9</v>
      </c>
      <c r="K57">
        <f>'Assumption sheet'!J110</f>
        <v>-9.3132257461547852E-9</v>
      </c>
    </row>
    <row r="58" spans="2:11" x14ac:dyDescent="0.25">
      <c r="B58" t="s">
        <v>47</v>
      </c>
      <c r="E58">
        <f t="shared" ref="E58:K58" si="10">SUM(E54:E57)</f>
        <v>143374556</v>
      </c>
      <c r="F58">
        <f t="shared" si="10"/>
        <v>214164775</v>
      </c>
      <c r="G58">
        <f t="shared" ca="1" si="10"/>
        <v>195804008.65179136</v>
      </c>
      <c r="H58">
        <f t="shared" ca="1" si="10"/>
        <v>227140489.85099146</v>
      </c>
      <c r="I58">
        <f t="shared" ca="1" si="10"/>
        <v>237338014.71117708</v>
      </c>
      <c r="J58">
        <f t="shared" ca="1" si="10"/>
        <v>253473752.14242619</v>
      </c>
      <c r="K58">
        <f t="shared" ca="1" si="10"/>
        <v>269136442.17845887</v>
      </c>
    </row>
    <row r="59" spans="2:11" x14ac:dyDescent="0.25">
      <c r="B59" t="s">
        <v>48</v>
      </c>
      <c r="E59">
        <f t="shared" ref="E59:K59" si="11">E58+E51+E45</f>
        <v>243470423</v>
      </c>
      <c r="F59">
        <f t="shared" si="11"/>
        <v>305005387</v>
      </c>
      <c r="G59">
        <f t="shared" ca="1" si="11"/>
        <v>287829288.16013819</v>
      </c>
      <c r="H59">
        <f t="shared" ca="1" si="11"/>
        <v>321322740.51343471</v>
      </c>
      <c r="I59">
        <f t="shared" ca="1" si="11"/>
        <v>334785561.05916327</v>
      </c>
      <c r="J59">
        <f t="shared" ca="1" si="11"/>
        <v>355564750.62691414</v>
      </c>
      <c r="K59">
        <f t="shared" ca="1" si="11"/>
        <v>377357390.41201454</v>
      </c>
    </row>
    <row r="62" spans="2:11" x14ac:dyDescent="0.25">
      <c r="B62" t="s">
        <v>49</v>
      </c>
    </row>
    <row r="63" spans="2:11" x14ac:dyDescent="0.25">
      <c r="B63" t="s">
        <v>50</v>
      </c>
    </row>
    <row r="64" spans="2:11" x14ac:dyDescent="0.25">
      <c r="B64" t="s">
        <v>51</v>
      </c>
      <c r="C64" t="s">
        <v>52</v>
      </c>
      <c r="G64">
        <f ca="1">G19</f>
        <v>44081221.225141048</v>
      </c>
      <c r="H64">
        <f ca="1">H19</f>
        <v>48632000.125457183</v>
      </c>
      <c r="I64">
        <f ca="1">I19</f>
        <v>55000673.249206215</v>
      </c>
      <c r="J64">
        <f ca="1">J19</f>
        <v>63044973.411782868</v>
      </c>
      <c r="K64">
        <f ca="1">K19</f>
        <v>71401319.846480817</v>
      </c>
    </row>
    <row r="65" spans="2:11" x14ac:dyDescent="0.25">
      <c r="B65" t="s">
        <v>53</v>
      </c>
    </row>
    <row r="66" spans="2:11" x14ac:dyDescent="0.25">
      <c r="B66" t="s">
        <v>54</v>
      </c>
      <c r="C66" t="s">
        <v>52</v>
      </c>
      <c r="G66">
        <f>-G15</f>
        <v>9731551.6237812005</v>
      </c>
      <c r="H66">
        <f>-H15</f>
        <v>8827196.1185461562</v>
      </c>
      <c r="I66">
        <f>-I15</f>
        <v>8107690.7722757002</v>
      </c>
      <c r="J66">
        <f>-J15</f>
        <v>7583393.3362062769</v>
      </c>
      <c r="K66">
        <f>-K15</f>
        <v>7344766.8460368263</v>
      </c>
    </row>
    <row r="67" spans="2:11" x14ac:dyDescent="0.25">
      <c r="B67" t="s">
        <v>55</v>
      </c>
      <c r="C67" t="s">
        <v>52</v>
      </c>
      <c r="G67">
        <f>'Assumption sheet'!F95</f>
        <v>-599779.45840191236</v>
      </c>
      <c r="H67">
        <f>'Assumption sheet'!G95</f>
        <v>-304545.9554720195</v>
      </c>
      <c r="I67">
        <f>'Assumption sheet'!H95</f>
        <v>-227888.00076811807</v>
      </c>
      <c r="J67">
        <f>'Assumption sheet'!I95</f>
        <v>-160092.10192325478</v>
      </c>
      <c r="K67">
        <f>'Assumption sheet'!J95</f>
        <v>-16491.50080213882</v>
      </c>
    </row>
    <row r="68" spans="2:11" x14ac:dyDescent="0.25">
      <c r="B68" t="s">
        <v>56</v>
      </c>
    </row>
    <row r="69" spans="2:11" x14ac:dyDescent="0.25">
      <c r="B69" t="s">
        <v>57</v>
      </c>
      <c r="C69" t="s">
        <v>52</v>
      </c>
      <c r="G69">
        <f t="shared" ref="G69:K70" si="12">F33-G33</f>
        <v>-83888.1220374431</v>
      </c>
      <c r="H69">
        <f t="shared" si="12"/>
        <v>-322799.76643532934</v>
      </c>
      <c r="I69">
        <f t="shared" si="12"/>
        <v>-74583.159123105928</v>
      </c>
      <c r="J69">
        <f t="shared" si="12"/>
        <v>-197734.45472392091</v>
      </c>
      <c r="K69">
        <f t="shared" si="12"/>
        <v>-138150.78230420407</v>
      </c>
    </row>
    <row r="70" spans="2:11" x14ac:dyDescent="0.25">
      <c r="B70" t="s">
        <v>58</v>
      </c>
      <c r="C70" t="s">
        <v>52</v>
      </c>
      <c r="G70">
        <f t="shared" si="12"/>
        <v>-20164680.011465967</v>
      </c>
      <c r="H70">
        <f t="shared" si="12"/>
        <v>-38246418.511394858</v>
      </c>
      <c r="I70">
        <f t="shared" si="12"/>
        <v>-14990757.061671078</v>
      </c>
      <c r="J70">
        <f t="shared" si="12"/>
        <v>-25445270.482817471</v>
      </c>
      <c r="K70">
        <f t="shared" si="12"/>
        <v>-20713678.108635187</v>
      </c>
    </row>
    <row r="71" spans="2:11" x14ac:dyDescent="0.25">
      <c r="B71" t="s">
        <v>59</v>
      </c>
      <c r="C71" t="s">
        <v>52</v>
      </c>
      <c r="G71">
        <f>G54-F54</f>
        <v>-9225220.2959899604</v>
      </c>
      <c r="H71">
        <f>H54-G54</f>
        <v>14790482.251509279</v>
      </c>
      <c r="I71">
        <f>I54-H54</f>
        <v>13473171.381143361</v>
      </c>
      <c r="J71">
        <f>J54-I54</f>
        <v>13018473.967441618</v>
      </c>
      <c r="K71">
        <f>K54-J54</f>
        <v>13893600.88797754</v>
      </c>
    </row>
    <row r="72" spans="2:11" x14ac:dyDescent="0.25">
      <c r="B72" t="s">
        <v>60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2:11" x14ac:dyDescent="0.25">
      <c r="B73" t="s">
        <v>61</v>
      </c>
      <c r="C73" t="s">
        <v>52</v>
      </c>
      <c r="G73">
        <f>-F55</f>
        <v>-37416567</v>
      </c>
      <c r="H73">
        <f ca="1">-G55</f>
        <v>-14387835.758146044</v>
      </c>
      <c r="I73">
        <f ca="1">-H55</f>
        <v>-16230334.087183423</v>
      </c>
      <c r="J73">
        <f ca="1">-I55</f>
        <v>-18472340.903961997</v>
      </c>
      <c r="K73">
        <f ca="1">-J55</f>
        <v>-21275198.858082924</v>
      </c>
    </row>
    <row r="74" spans="2:11" x14ac:dyDescent="0.25">
      <c r="B74" t="s">
        <v>62</v>
      </c>
      <c r="C74" t="s">
        <v>52</v>
      </c>
      <c r="G74">
        <f ca="1">SUM(G64:G73)</f>
        <v>-13677362.038973026</v>
      </c>
      <c r="H74">
        <f ca="1">SUM(H64:H73)</f>
        <v>18988078.504064362</v>
      </c>
      <c r="I74">
        <f ca="1">SUM(I64:I73)</f>
        <v>45057973.093879551</v>
      </c>
      <c r="J74">
        <f ca="1">SUM(J64:J73)</f>
        <v>39371402.772004113</v>
      </c>
      <c r="K74">
        <f ca="1">SUM(K64:K73)</f>
        <v>50496168.330670729</v>
      </c>
    </row>
    <row r="76" spans="2:11" x14ac:dyDescent="0.25">
      <c r="B76" t="s">
        <v>63</v>
      </c>
    </row>
    <row r="77" spans="2:11" x14ac:dyDescent="0.25">
      <c r="B77" t="s">
        <v>64</v>
      </c>
      <c r="C77" t="s">
        <v>52</v>
      </c>
      <c r="G77">
        <f>-'Assumption sheet'!F65</f>
        <v>-3653599.6504159998</v>
      </c>
      <c r="H77">
        <f>-'Assumption sheet'!G65</f>
        <v>-3751430.1940124994</v>
      </c>
      <c r="I77">
        <f>-'Assumption sheet'!H65</f>
        <v>-4309557.4261404006</v>
      </c>
      <c r="J77">
        <f>-'Assumption sheet'!I65</f>
        <v>-4915191.6374853617</v>
      </c>
      <c r="K77">
        <f>-'Assumption sheet'!J65</f>
        <v>-7069908.4993345207</v>
      </c>
    </row>
    <row r="78" spans="2:11" x14ac:dyDescent="0.25">
      <c r="B78" t="s">
        <v>65</v>
      </c>
      <c r="C78" t="s">
        <v>52</v>
      </c>
      <c r="G78">
        <f>SUM(G77)</f>
        <v>-3653599.6504159998</v>
      </c>
      <c r="H78">
        <f>SUM(H77)</f>
        <v>-3751430.1940124994</v>
      </c>
      <c r="I78">
        <f>SUM(I77)</f>
        <v>-4309557.4261404006</v>
      </c>
      <c r="J78">
        <f>SUM(J77)</f>
        <v>-4915191.6374853617</v>
      </c>
      <c r="K78">
        <f>SUM(K77)</f>
        <v>-7069908.4993345207</v>
      </c>
    </row>
    <row r="80" spans="2:11" x14ac:dyDescent="0.25">
      <c r="B80" t="s">
        <v>66</v>
      </c>
    </row>
    <row r="81" spans="2:11" x14ac:dyDescent="0.25">
      <c r="B81" t="s">
        <v>67</v>
      </c>
      <c r="C81" t="s">
        <v>52</v>
      </c>
      <c r="G81">
        <f ca="1">G104-G107</f>
        <v>17215224.856301948</v>
      </c>
      <c r="H81">
        <f ca="1">H104-H107</f>
        <v>18025540.285320133</v>
      </c>
      <c r="I81">
        <f ca="1">I104-I107</f>
        <v>-2195613.6710696593</v>
      </c>
      <c r="J81">
        <f ca="1">J104-J107</f>
        <v>314405.50968653709</v>
      </c>
      <c r="K81">
        <f ca="1">K104-K107</f>
        <v>-1215669.2408633009</v>
      </c>
    </row>
    <row r="82" spans="2:11" x14ac:dyDescent="0.25">
      <c r="B82" t="s">
        <v>68</v>
      </c>
      <c r="C82" t="s">
        <v>52</v>
      </c>
      <c r="G82">
        <f>-'Assumption sheet'!F37</f>
        <v>-802707.6</v>
      </c>
      <c r="H82">
        <f>-'Assumption sheet'!G37</f>
        <v>-802707.6</v>
      </c>
      <c r="I82">
        <f>-'Assumption sheet'!H37</f>
        <v>-802707.6</v>
      </c>
      <c r="J82">
        <f>-'Assumption sheet'!I37</f>
        <v>-802707.6</v>
      </c>
      <c r="K82">
        <f>-'Assumption sheet'!J37</f>
        <v>-802707.6</v>
      </c>
    </row>
    <row r="83" spans="2:11" x14ac:dyDescent="0.25">
      <c r="B83" t="s">
        <v>69</v>
      </c>
      <c r="C83" t="s">
        <v>52</v>
      </c>
      <c r="G83">
        <f>-('Assumption sheet'!F42+'Assumption sheet'!F41)</f>
        <v>-8158231.4666666696</v>
      </c>
      <c r="H83">
        <f>-('Assumption sheet'!G42+'Assumption sheet'!G41)</f>
        <v>-8158231.4666666696</v>
      </c>
      <c r="I83">
        <f>-('Assumption sheet'!H42+'Assumption sheet'!H41)</f>
        <v>-8158231.4666666696</v>
      </c>
      <c r="J83">
        <f>-('Assumption sheet'!I42+'Assumption sheet'!I41)</f>
        <v>-4836191.8</v>
      </c>
      <c r="K83">
        <f>-('Assumption sheet'!J42+'Assumption sheet'!J41)</f>
        <v>-4836191.8</v>
      </c>
    </row>
    <row r="84" spans="2:11" x14ac:dyDescent="0.25">
      <c r="B84" t="s">
        <v>70</v>
      </c>
      <c r="C84" t="s">
        <v>52</v>
      </c>
      <c r="G84">
        <f ca="1">-G21*75%</f>
        <v>-22270039.100246254</v>
      </c>
      <c r="H84">
        <f ca="1">-H21*75%</f>
        <v>-24301249.528705321</v>
      </c>
      <c r="I84">
        <f ca="1">-I21*75%</f>
        <v>-27396249.25893316</v>
      </c>
      <c r="J84">
        <f ca="1">-J21*75%</f>
        <v>-31327330.915274955</v>
      </c>
      <c r="K84">
        <f ca="1">-K21*75%</f>
        <v>-35356021.949609607</v>
      </c>
    </row>
    <row r="85" spans="2:11" x14ac:dyDescent="0.25">
      <c r="B85" t="s">
        <v>71</v>
      </c>
      <c r="C85" t="s">
        <v>52</v>
      </c>
      <c r="G85">
        <f ca="1">SUM(G81:G84)</f>
        <v>-14015753.310610976</v>
      </c>
      <c r="H85">
        <f ca="1">SUM(H81:H84)</f>
        <v>-15236648.310051858</v>
      </c>
      <c r="I85">
        <f ca="1">SUM(I81:I84)</f>
        <v>-38552801.996669486</v>
      </c>
      <c r="J85">
        <f ca="1">SUM(J81:J84)</f>
        <v>-36651824.805588417</v>
      </c>
      <c r="K85">
        <f ca="1">SUM(K81:K84)</f>
        <v>-42210590.590472907</v>
      </c>
    </row>
    <row r="87" spans="2:11" x14ac:dyDescent="0.25">
      <c r="B87" t="s">
        <v>72</v>
      </c>
    </row>
    <row r="88" spans="2:11" x14ac:dyDescent="0.25">
      <c r="B88" t="s">
        <v>73</v>
      </c>
      <c r="C88" t="s">
        <v>52</v>
      </c>
      <c r="G88">
        <f ca="1">G74+G78+G85</f>
        <v>-31346715.000000004</v>
      </c>
      <c r="H88">
        <f ca="1">H74+H78+H85</f>
        <v>0</v>
      </c>
      <c r="I88">
        <f ca="1">I74+I78+I85</f>
        <v>2195613.6710696667</v>
      </c>
      <c r="J88">
        <f ca="1">J74+J78+J85</f>
        <v>-2195613.6710696667</v>
      </c>
      <c r="K88">
        <f ca="1">K74+K78+K85</f>
        <v>1215669.2408633009</v>
      </c>
    </row>
    <row r="89" spans="2:11" x14ac:dyDescent="0.25">
      <c r="B89" t="s">
        <v>74</v>
      </c>
      <c r="C89" t="s">
        <v>52</v>
      </c>
      <c r="G89">
        <f>F36</f>
        <v>31846715</v>
      </c>
      <c r="H89">
        <f ca="1">G36</f>
        <v>499999.99999999627</v>
      </c>
      <c r="I89">
        <f ca="1">H36</f>
        <v>499999.99999999627</v>
      </c>
      <c r="J89">
        <f ca="1">I36</f>
        <v>2695613.671069663</v>
      </c>
      <c r="K89">
        <f ca="1">J36</f>
        <v>499999.99999999627</v>
      </c>
    </row>
    <row r="90" spans="2:11" x14ac:dyDescent="0.25">
      <c r="B90" t="s">
        <v>75</v>
      </c>
      <c r="C90" t="s">
        <v>52</v>
      </c>
      <c r="G90">
        <f ca="1">SUM(G88:G89)</f>
        <v>499999.99999999627</v>
      </c>
      <c r="H90">
        <f ca="1">SUM(H88:H89)</f>
        <v>499999.99999999627</v>
      </c>
      <c r="I90">
        <f ca="1">SUM(I88:I89)</f>
        <v>2695613.671069663</v>
      </c>
      <c r="J90">
        <f ca="1">SUM(J88:J89)</f>
        <v>499999.99999999627</v>
      </c>
      <c r="K90">
        <f ca="1">SUM(K88:K89)</f>
        <v>1715669.2408632971</v>
      </c>
    </row>
    <row r="94" spans="2:11" x14ac:dyDescent="0.25">
      <c r="B94" t="s">
        <v>76</v>
      </c>
    </row>
    <row r="95" spans="2:11" x14ac:dyDescent="0.25">
      <c r="B95" t="s">
        <v>77</v>
      </c>
    </row>
    <row r="96" spans="2:11" x14ac:dyDescent="0.25">
      <c r="B96" t="s">
        <v>78</v>
      </c>
      <c r="C96" t="s">
        <v>52</v>
      </c>
      <c r="G96">
        <f>G89</f>
        <v>31846715</v>
      </c>
      <c r="H96">
        <f ca="1">H89</f>
        <v>499999.99999999627</v>
      </c>
      <c r="I96">
        <f ca="1">I89</f>
        <v>499999.99999999627</v>
      </c>
      <c r="J96">
        <f ca="1">J89</f>
        <v>2695613.671069663</v>
      </c>
      <c r="K96">
        <f ca="1">K89</f>
        <v>499999.99999999627</v>
      </c>
    </row>
    <row r="97" spans="2:11" x14ac:dyDescent="0.25">
      <c r="B97" t="s">
        <v>79</v>
      </c>
      <c r="C97" t="s">
        <v>52</v>
      </c>
      <c r="G97">
        <f ca="1">G74</f>
        <v>-13677362.038973026</v>
      </c>
      <c r="H97">
        <f ca="1">H74</f>
        <v>18988078.504064362</v>
      </c>
      <c r="I97">
        <f ca="1">I74</f>
        <v>45057973.093879551</v>
      </c>
      <c r="J97">
        <f ca="1">J74</f>
        <v>39371402.772004113</v>
      </c>
      <c r="K97">
        <f ca="1">K74</f>
        <v>50496168.330670729</v>
      </c>
    </row>
    <row r="98" spans="2:11" x14ac:dyDescent="0.25">
      <c r="B98" t="s">
        <v>80</v>
      </c>
      <c r="C98" t="s">
        <v>52</v>
      </c>
      <c r="G98">
        <f>G78</f>
        <v>-3653599.6504159998</v>
      </c>
      <c r="H98">
        <f>H78</f>
        <v>-3751430.1940124994</v>
      </c>
      <c r="I98">
        <f>I78</f>
        <v>-4309557.4261404006</v>
      </c>
      <c r="J98">
        <f>J78</f>
        <v>-4915191.6374853617</v>
      </c>
      <c r="K98">
        <f>K78</f>
        <v>-7069908.4993345207</v>
      </c>
    </row>
    <row r="99" spans="2:11" x14ac:dyDescent="0.25">
      <c r="B99" t="s">
        <v>81</v>
      </c>
      <c r="C99" t="s">
        <v>52</v>
      </c>
      <c r="G99">
        <f ca="1">SUM(G82:G84)</f>
        <v>-31230978.166912924</v>
      </c>
      <c r="H99">
        <f ca="1">SUM(H82:H84)</f>
        <v>-33262188.595371991</v>
      </c>
      <c r="I99">
        <f ca="1">SUM(I82:I84)</f>
        <v>-36357188.325599834</v>
      </c>
      <c r="J99">
        <f ca="1">SUM(J82:J84)</f>
        <v>-36966230.315274954</v>
      </c>
      <c r="K99">
        <f ca="1">SUM(K82:K84)</f>
        <v>-40994921.349609606</v>
      </c>
    </row>
    <row r="100" spans="2:11" x14ac:dyDescent="0.25">
      <c r="B100" t="s">
        <v>82</v>
      </c>
      <c r="C100" t="s">
        <v>52</v>
      </c>
      <c r="G100">
        <f ca="1">SUM(G96:G99)</f>
        <v>-16715224.85630195</v>
      </c>
      <c r="H100">
        <f ca="1">SUM(H96:H99)</f>
        <v>-17525540.285320133</v>
      </c>
      <c r="I100">
        <f ca="1">SUM(I96:I99)</f>
        <v>4891227.3421393186</v>
      </c>
      <c r="J100">
        <f ca="1">SUM(J96:J99)</f>
        <v>185594.49031346291</v>
      </c>
      <c r="K100">
        <f ca="1">SUM(K96:K99)</f>
        <v>2931338.4817266017</v>
      </c>
    </row>
    <row r="102" spans="2:11" x14ac:dyDescent="0.25">
      <c r="B102" t="s">
        <v>83</v>
      </c>
    </row>
    <row r="103" spans="2:11" x14ac:dyDescent="0.25">
      <c r="B103" t="s">
        <v>84</v>
      </c>
      <c r="C103" t="s">
        <v>52</v>
      </c>
      <c r="G103">
        <v>500000</v>
      </c>
      <c r="H103">
        <v>500000</v>
      </c>
      <c r="I103">
        <v>500000</v>
      </c>
      <c r="J103">
        <v>500000</v>
      </c>
      <c r="K103">
        <v>500000</v>
      </c>
    </row>
    <row r="104" spans="2:11" x14ac:dyDescent="0.25">
      <c r="B104" t="s">
        <v>85</v>
      </c>
      <c r="C104" t="s">
        <v>52</v>
      </c>
      <c r="G104">
        <f ca="1">MAX(0,G103-G100)</f>
        <v>17215224.856301948</v>
      </c>
      <c r="H104">
        <f ca="1">MAX(0,H103-H100)</f>
        <v>18025540.285320133</v>
      </c>
      <c r="I104">
        <f ca="1">MAX(0,I103-I100)</f>
        <v>0</v>
      </c>
      <c r="J104">
        <f ca="1">MAX(0,J103-J100)</f>
        <v>314405.50968653709</v>
      </c>
      <c r="K104">
        <f ca="1">MAX(0,K103-K100)</f>
        <v>0</v>
      </c>
    </row>
    <row r="105" spans="2:11" x14ac:dyDescent="0.25">
      <c r="B105" t="s">
        <v>86</v>
      </c>
      <c r="G105">
        <f ca="1">MAX(0,G100-G103)</f>
        <v>0</v>
      </c>
      <c r="H105">
        <f ca="1">MAX(0,H100-H103)</f>
        <v>0</v>
      </c>
      <c r="I105">
        <f ca="1">MAX(0,I100-I103)</f>
        <v>4391227.3421393186</v>
      </c>
      <c r="J105">
        <f ca="1">MAX(0,J100-J103)</f>
        <v>0</v>
      </c>
      <c r="K105">
        <f ca="1">MAX(0,K100-K103)</f>
        <v>2431338.4817266017</v>
      </c>
    </row>
    <row r="106" spans="2:11" x14ac:dyDescent="0.25">
      <c r="B106" t="s">
        <v>87</v>
      </c>
      <c r="C106" t="s">
        <v>52</v>
      </c>
      <c r="G106">
        <f>F56</f>
        <v>29926449</v>
      </c>
      <c r="H106">
        <f ca="1">G56</f>
        <v>47141673.856301948</v>
      </c>
      <c r="I106">
        <f ca="1">H56</f>
        <v>65167214.141622081</v>
      </c>
      <c r="J106">
        <f ca="1">I56</f>
        <v>62971600.470552422</v>
      </c>
      <c r="K106">
        <f ca="1">J56</f>
        <v>63286005.980238959</v>
      </c>
    </row>
    <row r="107" spans="2:11" x14ac:dyDescent="0.25">
      <c r="B107" t="s">
        <v>88</v>
      </c>
      <c r="G107">
        <f ca="1">MIN(G106,G105*50%)</f>
        <v>0</v>
      </c>
      <c r="H107">
        <f ca="1">MIN(H106,H105*50%)</f>
        <v>0</v>
      </c>
      <c r="I107">
        <f ca="1">MIN(I106,I105*50%)</f>
        <v>2195613.6710696593</v>
      </c>
      <c r="J107">
        <f ca="1">MIN(J106,J105*50%)</f>
        <v>0</v>
      </c>
      <c r="K107">
        <f ca="1">MIN(K106,K105*50%)</f>
        <v>1215669.2408633009</v>
      </c>
    </row>
    <row r="108" spans="2:11" x14ac:dyDescent="0.25">
      <c r="B108" t="s">
        <v>89</v>
      </c>
      <c r="C108" t="s">
        <v>52</v>
      </c>
      <c r="G108">
        <f ca="1">G106+G104-G107</f>
        <v>47141673.856301948</v>
      </c>
      <c r="H108">
        <f ca="1">H106+H104-H107</f>
        <v>65167214.141622081</v>
      </c>
      <c r="I108">
        <f ca="1">I106+I104-I107</f>
        <v>62971600.470552422</v>
      </c>
      <c r="J108">
        <f ca="1">J106+J104-J107</f>
        <v>63286005.980238959</v>
      </c>
      <c r="K108">
        <f ca="1">K106+K104-K107</f>
        <v>62070336.739375658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26"/>
  <sheetViews>
    <sheetView topLeftCell="A16" zoomScaleNormal="100" workbookViewId="0">
      <selection activeCell="J27" sqref="J27"/>
    </sheetView>
  </sheetViews>
  <sheetFormatPr defaultColWidth="8.5703125" defaultRowHeight="15" x14ac:dyDescent="0.25"/>
  <cols>
    <col min="2" max="2" width="42.7109375" style="1" customWidth="1"/>
    <col min="3" max="5" width="13.7109375" style="1" customWidth="1"/>
    <col min="6" max="6" width="17.5703125" style="1" customWidth="1"/>
    <col min="7" max="10" width="13.85546875" style="1" customWidth="1"/>
  </cols>
  <sheetData>
    <row r="2" spans="2:10" x14ac:dyDescent="0.25">
      <c r="B2" t="s">
        <v>0</v>
      </c>
    </row>
    <row r="3" spans="2:10" x14ac:dyDescent="0.25">
      <c r="B3" t="s">
        <v>1</v>
      </c>
    </row>
    <row r="4" spans="2:10" x14ac:dyDescent="0.25">
      <c r="B4" t="s">
        <v>90</v>
      </c>
      <c r="D4" s="9">
        <v>2024</v>
      </c>
      <c r="E4" s="9">
        <v>2025</v>
      </c>
      <c r="F4" s="3">
        <v>2026</v>
      </c>
      <c r="G4" s="3">
        <f>F4+1</f>
        <v>2027</v>
      </c>
      <c r="H4" s="3">
        <f>G4+1</f>
        <v>2028</v>
      </c>
      <c r="I4" s="3">
        <f>H4+1</f>
        <v>2029</v>
      </c>
      <c r="J4" s="3">
        <f>I4+1</f>
        <v>2030</v>
      </c>
    </row>
    <row r="6" spans="2:10" x14ac:dyDescent="0.25">
      <c r="B6" t="s">
        <v>91</v>
      </c>
    </row>
    <row r="7" spans="2:10" x14ac:dyDescent="0.25">
      <c r="B7" t="s">
        <v>92</v>
      </c>
    </row>
    <row r="8" spans="2:10" x14ac:dyDescent="0.25">
      <c r="B8" t="s">
        <v>93</v>
      </c>
      <c r="C8" t="s">
        <v>94</v>
      </c>
      <c r="F8">
        <f>'Scenario sheet'!E24</f>
        <v>1350</v>
      </c>
      <c r="G8">
        <f>'Scenario sheet'!F24</f>
        <v>1450</v>
      </c>
      <c r="H8">
        <f>'Scenario sheet'!G24</f>
        <v>1550</v>
      </c>
      <c r="I8">
        <f>'Scenario sheet'!H24</f>
        <v>1650</v>
      </c>
      <c r="J8">
        <f>'Scenario sheet'!I24</f>
        <v>1750</v>
      </c>
    </row>
    <row r="9" spans="2:10" x14ac:dyDescent="0.25">
      <c r="B9" t="s">
        <v>95</v>
      </c>
      <c r="C9" t="s">
        <v>96</v>
      </c>
      <c r="F9">
        <f>'Scenario sheet'!E18</f>
        <v>3.4</v>
      </c>
      <c r="G9">
        <f>'Scenario sheet'!F18</f>
        <v>3.45</v>
      </c>
      <c r="H9">
        <f>'Scenario sheet'!G18</f>
        <v>3.49</v>
      </c>
      <c r="I9">
        <f>'Scenario sheet'!H18</f>
        <v>3.53</v>
      </c>
      <c r="J9">
        <f>'Scenario sheet'!I18</f>
        <v>3.57</v>
      </c>
    </row>
    <row r="11" spans="2:10" x14ac:dyDescent="0.25">
      <c r="B11" t="s">
        <v>97</v>
      </c>
    </row>
    <row r="12" spans="2:10" x14ac:dyDescent="0.25">
      <c r="B12" t="s">
        <v>98</v>
      </c>
      <c r="C12" t="s">
        <v>99</v>
      </c>
      <c r="F12">
        <v>435</v>
      </c>
      <c r="G12">
        <v>435</v>
      </c>
      <c r="H12">
        <v>435</v>
      </c>
      <c r="I12">
        <v>435</v>
      </c>
      <c r="J12">
        <v>435</v>
      </c>
    </row>
    <row r="13" spans="2:10" x14ac:dyDescent="0.25">
      <c r="B13" t="s">
        <v>100</v>
      </c>
      <c r="C13" t="s">
        <v>101</v>
      </c>
      <c r="F13">
        <v>0.88</v>
      </c>
      <c r="G13">
        <v>0.9</v>
      </c>
      <c r="H13">
        <v>0.9</v>
      </c>
      <c r="I13">
        <v>0.9</v>
      </c>
      <c r="J13">
        <v>0.9</v>
      </c>
    </row>
    <row r="14" spans="2:10" x14ac:dyDescent="0.25">
      <c r="B14" t="s">
        <v>102</v>
      </c>
      <c r="C14" t="s">
        <v>101</v>
      </c>
      <c r="F14">
        <v>0.72</v>
      </c>
      <c r="G14">
        <v>0.75</v>
      </c>
      <c r="H14">
        <f>G14+0.01</f>
        <v>0.76</v>
      </c>
      <c r="I14">
        <f>H14+0.01</f>
        <v>0.77</v>
      </c>
      <c r="J14">
        <f>I14+0.01</f>
        <v>0.78</v>
      </c>
    </row>
    <row r="15" spans="2:10" x14ac:dyDescent="0.25">
      <c r="B15" t="s">
        <v>103</v>
      </c>
      <c r="C15" t="s">
        <v>104</v>
      </c>
      <c r="F15">
        <v>8760</v>
      </c>
      <c r="G15">
        <v>8760</v>
      </c>
      <c r="H15">
        <v>8760</v>
      </c>
      <c r="I15">
        <v>8760</v>
      </c>
      <c r="J15">
        <v>8760</v>
      </c>
    </row>
    <row r="16" spans="2:10" x14ac:dyDescent="0.25">
      <c r="B16" t="s">
        <v>105</v>
      </c>
      <c r="C16" t="s">
        <v>101</v>
      </c>
      <c r="F16">
        <v>0.03</v>
      </c>
      <c r="G16">
        <v>0.03</v>
      </c>
      <c r="H16">
        <v>0.03</v>
      </c>
      <c r="I16">
        <v>0.03</v>
      </c>
      <c r="J16">
        <v>0.03</v>
      </c>
    </row>
    <row r="17" spans="2:10" x14ac:dyDescent="0.25">
      <c r="B17" t="s">
        <v>106</v>
      </c>
      <c r="C17" t="s">
        <v>101</v>
      </c>
      <c r="F17">
        <v>7.0000000000000007E-2</v>
      </c>
      <c r="G17">
        <v>7.0000000000000007E-2</v>
      </c>
      <c r="H17">
        <v>7.0000000000000007E-2</v>
      </c>
      <c r="I17">
        <v>7.0000000000000007E-2</v>
      </c>
      <c r="J17">
        <v>7.0000000000000007E-2</v>
      </c>
    </row>
    <row r="18" spans="2:10" x14ac:dyDescent="0.25">
      <c r="B18" t="s">
        <v>107</v>
      </c>
      <c r="C18" t="s">
        <v>108</v>
      </c>
      <c r="F18">
        <v>10.4</v>
      </c>
      <c r="G18">
        <v>10.3</v>
      </c>
      <c r="H18">
        <v>10.25</v>
      </c>
      <c r="I18">
        <v>10.199999999999999</v>
      </c>
      <c r="J18">
        <v>10.15</v>
      </c>
    </row>
    <row r="20" spans="2:10" x14ac:dyDescent="0.25">
      <c r="B20" t="s">
        <v>109</v>
      </c>
    </row>
    <row r="21" spans="2:10" x14ac:dyDescent="0.25">
      <c r="B21" t="s">
        <v>110</v>
      </c>
      <c r="C21" t="s">
        <v>111</v>
      </c>
      <c r="F21">
        <v>53</v>
      </c>
      <c r="G21">
        <v>56.5</v>
      </c>
      <c r="H21">
        <v>60</v>
      </c>
      <c r="I21">
        <v>63.5</v>
      </c>
      <c r="J21">
        <v>67</v>
      </c>
    </row>
    <row r="22" spans="2:10" x14ac:dyDescent="0.25">
      <c r="B22" t="s">
        <v>112</v>
      </c>
      <c r="C22" t="s">
        <v>113</v>
      </c>
      <c r="F22">
        <v>20.5</v>
      </c>
      <c r="G22">
        <v>21</v>
      </c>
      <c r="H22">
        <v>21.5</v>
      </c>
      <c r="I22">
        <v>22</v>
      </c>
      <c r="J22">
        <v>22.5</v>
      </c>
    </row>
    <row r="25" spans="2:10" x14ac:dyDescent="0.25">
      <c r="B25" t="s">
        <v>114</v>
      </c>
    </row>
    <row r="26" spans="2:10" x14ac:dyDescent="0.25">
      <c r="B26" t="s">
        <v>115</v>
      </c>
      <c r="C26" t="s">
        <v>116</v>
      </c>
      <c r="F26" s="10">
        <v>0.01</v>
      </c>
      <c r="G26" s="10">
        <f>F26+0.5%</f>
        <v>1.4999999999999999E-2</v>
      </c>
      <c r="H26" s="10">
        <f>G26+0.09%</f>
        <v>1.5900000000000001E-2</v>
      </c>
      <c r="I26" s="10">
        <f>H26+0.09%</f>
        <v>1.6800000000000002E-2</v>
      </c>
      <c r="J26" s="10">
        <f>I26+0.09%</f>
        <v>1.7700000000000004E-2</v>
      </c>
    </row>
    <row r="27" spans="2:10" x14ac:dyDescent="0.25">
      <c r="B27" t="s">
        <v>117</v>
      </c>
      <c r="F27">
        <v>1413800</v>
      </c>
      <c r="G27">
        <v>0</v>
      </c>
      <c r="H27">
        <v>0</v>
      </c>
      <c r="I27">
        <v>0</v>
      </c>
      <c r="J27">
        <v>1500000</v>
      </c>
    </row>
    <row r="28" spans="2:10" x14ac:dyDescent="0.25">
      <c r="B28" t="s">
        <v>118</v>
      </c>
      <c r="C28" t="s">
        <v>101</v>
      </c>
      <c r="F28" s="10">
        <v>0.15</v>
      </c>
      <c r="G28" s="10">
        <v>0.15</v>
      </c>
      <c r="H28" s="10">
        <v>0.15</v>
      </c>
      <c r="I28" s="10">
        <v>0.15</v>
      </c>
      <c r="J28" s="10">
        <v>0.15</v>
      </c>
    </row>
    <row r="30" spans="2:10" x14ac:dyDescent="0.25">
      <c r="B30" t="s">
        <v>119</v>
      </c>
      <c r="C30" t="s">
        <v>101</v>
      </c>
      <c r="F30" s="10">
        <v>0.75</v>
      </c>
      <c r="G30" s="10">
        <v>0.75</v>
      </c>
      <c r="H30" s="10">
        <v>0.75</v>
      </c>
      <c r="I30" s="10">
        <v>0.75</v>
      </c>
      <c r="J30" s="10">
        <v>0.75</v>
      </c>
    </row>
    <row r="32" spans="2:10" x14ac:dyDescent="0.25">
      <c r="B32" t="s">
        <v>120</v>
      </c>
      <c r="C32" t="s">
        <v>121</v>
      </c>
      <c r="F32" s="10">
        <v>1.05</v>
      </c>
      <c r="G32" s="10">
        <v>1.05</v>
      </c>
      <c r="H32" s="10">
        <v>1.05</v>
      </c>
      <c r="I32" s="10">
        <v>1.05</v>
      </c>
      <c r="J32" s="10">
        <v>1.05</v>
      </c>
    </row>
    <row r="33" spans="2:10" x14ac:dyDescent="0.25">
      <c r="B33" t="s">
        <v>122</v>
      </c>
      <c r="C33" t="s">
        <v>101</v>
      </c>
      <c r="F33" s="10">
        <v>0.34</v>
      </c>
      <c r="G33" s="10">
        <v>0.34</v>
      </c>
      <c r="H33" s="10">
        <v>0.34</v>
      </c>
      <c r="I33" s="10">
        <v>0.34</v>
      </c>
      <c r="J33" s="10">
        <v>0.34</v>
      </c>
    </row>
    <row r="34" spans="2:10" x14ac:dyDescent="0.25">
      <c r="B34" t="s">
        <v>123</v>
      </c>
      <c r="C34" t="s">
        <v>124</v>
      </c>
      <c r="F34" s="10">
        <v>0.06</v>
      </c>
      <c r="G34" s="10">
        <v>0.06</v>
      </c>
      <c r="H34" s="10">
        <v>0.06</v>
      </c>
      <c r="I34" s="10">
        <v>0.06</v>
      </c>
      <c r="J34" s="10">
        <v>0.06</v>
      </c>
    </row>
    <row r="35" spans="2:10" x14ac:dyDescent="0.25">
      <c r="B35" t="s">
        <v>125</v>
      </c>
      <c r="F35" s="10"/>
      <c r="G35" s="10"/>
      <c r="H35" s="10"/>
      <c r="I35" s="10"/>
      <c r="J35" s="10"/>
    </row>
    <row r="36" spans="2:10" x14ac:dyDescent="0.25">
      <c r="B36" t="s">
        <v>126</v>
      </c>
      <c r="C36" t="s">
        <v>101</v>
      </c>
      <c r="F36" s="10">
        <v>0.25</v>
      </c>
      <c r="G36" s="10">
        <v>0.22</v>
      </c>
      <c r="H36" s="10">
        <v>0.21</v>
      </c>
      <c r="I36" s="10">
        <v>0.2</v>
      </c>
      <c r="J36" s="10">
        <v>0.18</v>
      </c>
    </row>
    <row r="37" spans="2:10" x14ac:dyDescent="0.25">
      <c r="B37" t="s">
        <v>127</v>
      </c>
      <c r="C37" t="s">
        <v>52</v>
      </c>
      <c r="F37">
        <v>802707.6</v>
      </c>
      <c r="G37">
        <v>802707.6</v>
      </c>
      <c r="H37">
        <v>802707.6</v>
      </c>
      <c r="I37">
        <v>802707.6</v>
      </c>
      <c r="J37">
        <v>802707.6</v>
      </c>
    </row>
    <row r="38" spans="2:10" x14ac:dyDescent="0.25">
      <c r="B38" t="s">
        <v>128</v>
      </c>
    </row>
    <row r="39" spans="2:10" x14ac:dyDescent="0.25">
      <c r="B39" t="s">
        <v>129</v>
      </c>
      <c r="C39" t="s">
        <v>101</v>
      </c>
      <c r="F39" s="10">
        <v>0.14699999999999999</v>
      </c>
      <c r="G39" s="10">
        <v>0.14699999999999999</v>
      </c>
      <c r="H39" s="10">
        <v>0.14699999999999999</v>
      </c>
      <c r="I39" s="10">
        <v>0.14699999999999999</v>
      </c>
      <c r="J39" s="10">
        <v>0</v>
      </c>
    </row>
    <row r="41" spans="2:10" x14ac:dyDescent="0.25">
      <c r="B41" t="s">
        <v>130</v>
      </c>
      <c r="F41">
        <v>3322039.6666666698</v>
      </c>
      <c r="G41">
        <v>3322039.6666666698</v>
      </c>
      <c r="H41">
        <v>3322039.6666666698</v>
      </c>
      <c r="I41">
        <v>0</v>
      </c>
      <c r="J41">
        <v>0</v>
      </c>
    </row>
    <row r="42" spans="2:10" x14ac:dyDescent="0.25">
      <c r="B42" t="s">
        <v>131</v>
      </c>
      <c r="F42">
        <v>4836191.8</v>
      </c>
      <c r="G42">
        <v>4836191.8</v>
      </c>
      <c r="H42">
        <v>4836191.8</v>
      </c>
      <c r="I42">
        <v>4836191.8</v>
      </c>
      <c r="J42">
        <v>4836191.8</v>
      </c>
    </row>
    <row r="47" spans="2:10" x14ac:dyDescent="0.25">
      <c r="B47" s="4" t="s">
        <v>132</v>
      </c>
    </row>
    <row r="49" spans="2:10" x14ac:dyDescent="0.25">
      <c r="B49" s="4" t="s">
        <v>133</v>
      </c>
    </row>
    <row r="50" spans="2:10" x14ac:dyDescent="0.25">
      <c r="B50" t="s">
        <v>134</v>
      </c>
      <c r="F50">
        <f>F12*F15*F14</f>
        <v>2743632</v>
      </c>
      <c r="G50">
        <f>G12*G15*G14</f>
        <v>2857950</v>
      </c>
      <c r="H50">
        <f>H12*H15*H14</f>
        <v>2896056</v>
      </c>
      <c r="I50">
        <f>I12*I15*I14</f>
        <v>2934162</v>
      </c>
      <c r="J50">
        <f>J12*J15*J14</f>
        <v>2972268</v>
      </c>
    </row>
    <row r="51" spans="2:10" x14ac:dyDescent="0.25">
      <c r="B51" t="s">
        <v>135</v>
      </c>
      <c r="F51">
        <f t="shared" ref="F51:J52" si="0">F50*(1-F16)</f>
        <v>2661323.04</v>
      </c>
      <c r="G51">
        <f t="shared" si="0"/>
        <v>2772211.5</v>
      </c>
      <c r="H51">
        <f t="shared" si="0"/>
        <v>2809174.32</v>
      </c>
      <c r="I51">
        <f t="shared" si="0"/>
        <v>2846137.14</v>
      </c>
      <c r="J51">
        <f t="shared" si="0"/>
        <v>2883099.96</v>
      </c>
    </row>
    <row r="52" spans="2:10" x14ac:dyDescent="0.25">
      <c r="B52" t="s">
        <v>136</v>
      </c>
      <c r="F52">
        <f t="shared" si="0"/>
        <v>2475030.4271999998</v>
      </c>
      <c r="G52">
        <f t="shared" si="0"/>
        <v>2578156.6949999998</v>
      </c>
      <c r="H52">
        <f t="shared" si="0"/>
        <v>2612532.1175999995</v>
      </c>
      <c r="I52">
        <f t="shared" si="0"/>
        <v>2646907.5402000002</v>
      </c>
      <c r="J52">
        <f t="shared" si="0"/>
        <v>2681282.9627999999</v>
      </c>
    </row>
    <row r="53" spans="2:10" x14ac:dyDescent="0.25">
      <c r="B53" t="s">
        <v>137</v>
      </c>
      <c r="F53">
        <f>F52*F21</f>
        <v>131176612.64159998</v>
      </c>
      <c r="G53">
        <f>G52*G21</f>
        <v>145665853.26749998</v>
      </c>
      <c r="H53">
        <f>H52*H21</f>
        <v>156751927.05599996</v>
      </c>
      <c r="I53">
        <f>I52*I21</f>
        <v>168078628.80270001</v>
      </c>
      <c r="J53">
        <f>J52*J21</f>
        <v>179645958.50759998</v>
      </c>
    </row>
    <row r="54" spans="2:10" x14ac:dyDescent="0.25">
      <c r="B54" t="s">
        <v>138</v>
      </c>
      <c r="F54">
        <f>(F12*F15*F13*F22*F8)/1000</f>
        <v>92803352.400000006</v>
      </c>
      <c r="G54">
        <f>(G12*G15*G13*G22*G8)/1000</f>
        <v>104429493</v>
      </c>
      <c r="H54">
        <f>(H12*H15*H13*H22*H8)/1000</f>
        <v>114289420.5</v>
      </c>
      <c r="I54">
        <f>(I12*I15*I13*I22*I8)/1000</f>
        <v>124492302</v>
      </c>
      <c r="J54">
        <f>(J12*J15*J13*J22*J8)/1000</f>
        <v>135038137.5</v>
      </c>
    </row>
    <row r="55" spans="2:10" s="8" customFormat="1" x14ac:dyDescent="0.25">
      <c r="B55" s="8" t="s">
        <v>139</v>
      </c>
      <c r="F55" s="8">
        <f>F53+F54</f>
        <v>223979965.04159999</v>
      </c>
      <c r="G55" s="8">
        <f>G53+G54</f>
        <v>250095346.26749998</v>
      </c>
      <c r="H55" s="8">
        <f>H53+H54</f>
        <v>271041347.55599999</v>
      </c>
      <c r="I55" s="8">
        <f>I53+I54</f>
        <v>292570930.80270004</v>
      </c>
      <c r="J55" s="8">
        <f>J53+J54</f>
        <v>314684096.00759995</v>
      </c>
    </row>
    <row r="57" spans="2:10" x14ac:dyDescent="0.25">
      <c r="B57" s="4" t="s">
        <v>140</v>
      </c>
    </row>
    <row r="58" spans="2:10" x14ac:dyDescent="0.25">
      <c r="B58" t="s">
        <v>141</v>
      </c>
      <c r="F58">
        <f>F51*F18</f>
        <v>27677759.616</v>
      </c>
      <c r="G58">
        <f>G51*G18</f>
        <v>28553778.450000003</v>
      </c>
      <c r="H58">
        <f>H51*H18</f>
        <v>28794036.779999997</v>
      </c>
      <c r="I58">
        <f>I51*I18</f>
        <v>29030598.827999998</v>
      </c>
      <c r="J58">
        <f>J51*J18</f>
        <v>29263464.594000001</v>
      </c>
    </row>
    <row r="59" spans="2:10" x14ac:dyDescent="0.25">
      <c r="B59" t="s">
        <v>142</v>
      </c>
      <c r="F59">
        <f>F9*F8</f>
        <v>4590</v>
      </c>
      <c r="G59">
        <f>G9*G8</f>
        <v>5002.5</v>
      </c>
      <c r="H59">
        <f>H9*H8</f>
        <v>5409.5</v>
      </c>
      <c r="I59">
        <f>I9*I8</f>
        <v>5824.5</v>
      </c>
      <c r="J59">
        <f>J9*J8</f>
        <v>6247.5</v>
      </c>
    </row>
    <row r="60" spans="2:10" x14ac:dyDescent="0.25">
      <c r="B60" t="s">
        <v>143</v>
      </c>
      <c r="F60">
        <f>(F58*F59)/1000</f>
        <v>127040916.63744</v>
      </c>
      <c r="G60">
        <f>(G58*G59)/1000</f>
        <v>142840276.696125</v>
      </c>
      <c r="H60">
        <f>(H58*H59)/1000</f>
        <v>155761341.96140999</v>
      </c>
      <c r="I60">
        <f>(I58*I59)/1000</f>
        <v>169088722.87368599</v>
      </c>
      <c r="J60">
        <f>(J58*J59)/1000</f>
        <v>182823495.05101502</v>
      </c>
    </row>
    <row r="63" spans="2:10" x14ac:dyDescent="0.25">
      <c r="B63" s="4" t="s">
        <v>144</v>
      </c>
    </row>
    <row r="64" spans="2:10" x14ac:dyDescent="0.25">
      <c r="B64" t="s">
        <v>145</v>
      </c>
      <c r="F64">
        <f>Model!F27</f>
        <v>63050211</v>
      </c>
      <c r="G64">
        <f>F67</f>
        <v>56972259.026634797</v>
      </c>
      <c r="H64">
        <f>G67</f>
        <v>51896493.10210114</v>
      </c>
      <c r="I64">
        <f>H67</f>
        <v>48098359.755965836</v>
      </c>
      <c r="J64">
        <f>I67</f>
        <v>45430158.057244919</v>
      </c>
    </row>
    <row r="65" spans="2:10" x14ac:dyDescent="0.25">
      <c r="B65" t="s">
        <v>64</v>
      </c>
      <c r="F65">
        <f>F27+(F26*F55)</f>
        <v>3653599.6504159998</v>
      </c>
      <c r="G65">
        <f>G27+(G26*G55)</f>
        <v>3751430.1940124994</v>
      </c>
      <c r="H65">
        <f>H27+(H26*H55)</f>
        <v>4309557.4261404006</v>
      </c>
      <c r="I65">
        <f>I27+(I26*I55)</f>
        <v>4915191.6374853617</v>
      </c>
      <c r="J65">
        <f>J27+(J26*J55)</f>
        <v>7069908.4993345207</v>
      </c>
    </row>
    <row r="66" spans="2:10" x14ac:dyDescent="0.25">
      <c r="B66" t="s">
        <v>146</v>
      </c>
      <c r="F66">
        <f>-F28*(F64+(F65/2))</f>
        <v>-9731551.6237812005</v>
      </c>
      <c r="G66">
        <f>-G28*(G64+(G65/2))</f>
        <v>-8827196.1185461562</v>
      </c>
      <c r="H66">
        <f>-H28*(H64+(H65/2))</f>
        <v>-8107690.7722757002</v>
      </c>
      <c r="I66">
        <f>-I28*(I64+(I65/2))</f>
        <v>-7583393.3362062769</v>
      </c>
      <c r="J66">
        <f>-J28*(J64+(J65/2))</f>
        <v>-7344766.8460368263</v>
      </c>
    </row>
    <row r="67" spans="2:10" x14ac:dyDescent="0.25">
      <c r="B67" t="s">
        <v>147</v>
      </c>
      <c r="F67">
        <f>SUM(F64:F66)</f>
        <v>56972259.026634797</v>
      </c>
      <c r="G67">
        <f>SUM(G64:G66)</f>
        <v>51896493.10210114</v>
      </c>
      <c r="H67">
        <f>SUM(H64:H66)</f>
        <v>48098359.755965836</v>
      </c>
      <c r="I67">
        <f>SUM(I64:I66)</f>
        <v>45430158.057244919</v>
      </c>
      <c r="J67">
        <f>SUM(J64:J66)</f>
        <v>45155299.710542612</v>
      </c>
    </row>
    <row r="70" spans="2:10" x14ac:dyDescent="0.25">
      <c r="B70" s="4" t="s">
        <v>148</v>
      </c>
    </row>
    <row r="71" spans="2:10" x14ac:dyDescent="0.25">
      <c r="B71" t="s">
        <v>149</v>
      </c>
      <c r="D71">
        <f>-Model!E9</f>
        <v>69865917</v>
      </c>
      <c r="E71">
        <f>-Model!F9</f>
        <v>100416543</v>
      </c>
      <c r="F71">
        <f>-Model!G9</f>
        <v>127040916.63744</v>
      </c>
      <c r="G71">
        <f>-Model!H9</f>
        <v>142840276.696125</v>
      </c>
      <c r="H71">
        <f>-Model!I9</f>
        <v>155761341.96140999</v>
      </c>
      <c r="I71">
        <f>-Model!J9</f>
        <v>169088722.87368599</v>
      </c>
      <c r="J71">
        <f>-Model!K9</f>
        <v>182823495.05101502</v>
      </c>
    </row>
    <row r="72" spans="2:10" x14ac:dyDescent="0.25">
      <c r="B72" t="s">
        <v>150</v>
      </c>
      <c r="D72">
        <f>Model!E33</f>
        <v>623675</v>
      </c>
      <c r="E72">
        <f>Model!F33</f>
        <v>1314923</v>
      </c>
      <c r="F72">
        <f>(F73/365)*F71</f>
        <v>1398811.1220374431</v>
      </c>
      <c r="G72">
        <f>(G73/365)*G71</f>
        <v>1721610.8884727724</v>
      </c>
      <c r="H72">
        <f>(H73/365)*H71</f>
        <v>1796194.0475958784</v>
      </c>
      <c r="I72">
        <f>(I73/365)*I71</f>
        <v>1993928.5023197993</v>
      </c>
      <c r="J72">
        <f>(J73/365)*J71</f>
        <v>2132079.2846240033</v>
      </c>
    </row>
    <row r="73" spans="2:10" x14ac:dyDescent="0.25">
      <c r="B73" t="s">
        <v>151</v>
      </c>
      <c r="D73">
        <f>(D72/D71)*365</f>
        <v>3.2582607482272077</v>
      </c>
      <c r="E73">
        <f>(E72/E71)*365</f>
        <v>4.7795600272755854</v>
      </c>
      <c r="F73">
        <f>AVERAGE(D73:E73)</f>
        <v>4.0189103877513963</v>
      </c>
      <c r="G73">
        <f>AVERAGE(E73:F73)</f>
        <v>4.3992352075134908</v>
      </c>
      <c r="H73">
        <f>AVERAGE(F73:G73)</f>
        <v>4.2090727976324436</v>
      </c>
      <c r="I73">
        <f>AVERAGE(G73:H73)</f>
        <v>4.3041540025729672</v>
      </c>
      <c r="J73">
        <f>AVERAGE(H73:I73)</f>
        <v>4.2566134001027054</v>
      </c>
    </row>
    <row r="75" spans="2:10" x14ac:dyDescent="0.25">
      <c r="B75" s="4" t="s">
        <v>152</v>
      </c>
    </row>
    <row r="76" spans="2:10" x14ac:dyDescent="0.25">
      <c r="B76" t="s">
        <v>3</v>
      </c>
      <c r="D76">
        <f>Model!E8</f>
        <v>137126532</v>
      </c>
      <c r="E76">
        <f>Model!F8</f>
        <v>184935803</v>
      </c>
      <c r="F76">
        <f>Model!G8</f>
        <v>223979965.04159999</v>
      </c>
      <c r="G76">
        <f>Model!H8</f>
        <v>250095346.26749998</v>
      </c>
      <c r="H76">
        <f>Model!I8</f>
        <v>271041347.55599999</v>
      </c>
      <c r="I76">
        <f>Model!J8</f>
        <v>292570930.80270004</v>
      </c>
      <c r="J76">
        <f>Model!K8</f>
        <v>314684096.00759995</v>
      </c>
    </row>
    <row r="77" spans="2:10" x14ac:dyDescent="0.25">
      <c r="B77" t="s">
        <v>153</v>
      </c>
      <c r="D77">
        <f>Model!E34</f>
        <v>121820410</v>
      </c>
      <c r="E77">
        <f>Model!F34</f>
        <v>201108440</v>
      </c>
      <c r="F77">
        <f>(F78/365)*F76</f>
        <v>221273120.01146597</v>
      </c>
      <c r="G77">
        <f>(G78/365)*G76</f>
        <v>259519538.52286083</v>
      </c>
      <c r="H77">
        <f>(H78/365)*H76</f>
        <v>274510295.5845319</v>
      </c>
      <c r="I77">
        <f>(I78/365)*I76</f>
        <v>299955566.06734937</v>
      </c>
      <c r="J77">
        <f>(J78/365)*J76</f>
        <v>320669244.17598456</v>
      </c>
    </row>
    <row r="78" spans="2:10" x14ac:dyDescent="0.25">
      <c r="B78" t="s">
        <v>151</v>
      </c>
      <c r="D78">
        <f>(D77/D76)*365</f>
        <v>324.25854429104936</v>
      </c>
      <c r="E78">
        <f>(E77/E76)*365</f>
        <v>396.91925202822944</v>
      </c>
      <c r="F78">
        <f>AVERAGE(D78:E78)</f>
        <v>360.58889815963937</v>
      </c>
      <c r="G78">
        <f>AVERAGE(E78:F78)</f>
        <v>378.75407509393438</v>
      </c>
      <c r="H78">
        <f>AVERAGE(F78:G78)</f>
        <v>369.67148662678687</v>
      </c>
      <c r="I78">
        <f>AVERAGE(G78:H78)</f>
        <v>374.21278086036062</v>
      </c>
      <c r="J78">
        <f>AVERAGE(H78:I78)</f>
        <v>371.94213374357378</v>
      </c>
    </row>
    <row r="80" spans="2:10" x14ac:dyDescent="0.25">
      <c r="B80" s="4" t="s">
        <v>154</v>
      </c>
    </row>
    <row r="81" spans="2:10" x14ac:dyDescent="0.25">
      <c r="B81" t="str">
        <f>B71</f>
        <v>COS</v>
      </c>
      <c r="D81">
        <f>-Model!E9</f>
        <v>69865917</v>
      </c>
      <c r="E81">
        <f>-Model!F9</f>
        <v>100416543</v>
      </c>
      <c r="F81">
        <f>-Model!G9</f>
        <v>127040916.63744</v>
      </c>
      <c r="G81">
        <f>-Model!H9</f>
        <v>142840276.696125</v>
      </c>
      <c r="H81">
        <f>-Model!I9</f>
        <v>155761341.96140999</v>
      </c>
      <c r="I81">
        <f>-Model!J9</f>
        <v>169088722.87368599</v>
      </c>
      <c r="J81">
        <f>-Model!K9</f>
        <v>182823495.05101502</v>
      </c>
    </row>
    <row r="82" spans="2:10" x14ac:dyDescent="0.25">
      <c r="B82" t="s">
        <v>154</v>
      </c>
      <c r="D82">
        <f>Model!E54</f>
        <v>98135076</v>
      </c>
      <c r="E82">
        <f>Model!F54</f>
        <v>136855640</v>
      </c>
      <c r="F82">
        <f>F83/365*F81</f>
        <v>127630419.70401004</v>
      </c>
      <c r="G82">
        <f>G83/365*G81</f>
        <v>142420901.95551932</v>
      </c>
      <c r="H82">
        <f>H83/365*H81</f>
        <v>155894073.33666268</v>
      </c>
      <c r="I82">
        <f>I83/365*I81</f>
        <v>168912547.3041043</v>
      </c>
      <c r="J82">
        <f>J83/365*J81</f>
        <v>182806148.19208184</v>
      </c>
    </row>
    <row r="83" spans="2:10" x14ac:dyDescent="0.25">
      <c r="B83" t="s">
        <v>155</v>
      </c>
      <c r="D83">
        <f>(D82/D81)*265</f>
        <v>372.2243442392662</v>
      </c>
      <c r="E83">
        <f>(E82/E81)*265</f>
        <v>361.16304661075617</v>
      </c>
      <c r="F83">
        <f>AVERAGE(D83:E83)</f>
        <v>366.69369542501119</v>
      </c>
      <c r="G83">
        <f>AVERAGE(E83:F83)</f>
        <v>363.92837101788371</v>
      </c>
      <c r="H83">
        <f>AVERAGE(F83:G83)</f>
        <v>365.31103322144747</v>
      </c>
      <c r="I83">
        <f>AVERAGE(G83:H83)</f>
        <v>364.61970211966559</v>
      </c>
      <c r="J83">
        <f>AVERAGE(H83:I83)</f>
        <v>364.96536767055653</v>
      </c>
    </row>
    <row r="87" spans="2:10" x14ac:dyDescent="0.25">
      <c r="B87" s="4" t="s">
        <v>156</v>
      </c>
    </row>
    <row r="88" spans="2:10" x14ac:dyDescent="0.25">
      <c r="B88" t="s">
        <v>51</v>
      </c>
      <c r="F88">
        <f ca="1">Model!G19</f>
        <v>44081221.225141048</v>
      </c>
      <c r="G88">
        <f ca="1">Model!H19</f>
        <v>48632000.125457183</v>
      </c>
      <c r="H88">
        <f ca="1">Model!I19</f>
        <v>55000673.249206215</v>
      </c>
      <c r="I88">
        <f ca="1">Model!J19</f>
        <v>63044973.411782868</v>
      </c>
      <c r="J88">
        <f ca="1">Model!K19</f>
        <v>71401319.846480817</v>
      </c>
    </row>
    <row r="89" spans="2:10" x14ac:dyDescent="0.25">
      <c r="B89" t="s">
        <v>157</v>
      </c>
      <c r="F89">
        <f ca="1">F88*F33</f>
        <v>14987615.216547957</v>
      </c>
      <c r="G89">
        <f ca="1">G88*G33</f>
        <v>16534880.042655444</v>
      </c>
      <c r="H89">
        <f ca="1">H88*H33</f>
        <v>18700228.904730115</v>
      </c>
      <c r="I89">
        <f ca="1">I88*I33</f>
        <v>21435290.960006177</v>
      </c>
      <c r="J89">
        <f ca="1">J88*J33</f>
        <v>24276448.747803479</v>
      </c>
    </row>
    <row r="90" spans="2:10" x14ac:dyDescent="0.25">
      <c r="B90" t="s">
        <v>158</v>
      </c>
      <c r="F90">
        <f>F95</f>
        <v>-599779.45840191236</v>
      </c>
      <c r="G90">
        <f>G95</f>
        <v>-304545.9554720195</v>
      </c>
      <c r="H90">
        <f>H95</f>
        <v>-227888.00076811807</v>
      </c>
      <c r="I90">
        <f>I95</f>
        <v>-160092.10192325478</v>
      </c>
      <c r="J90">
        <f>J95</f>
        <v>-16491.50080213882</v>
      </c>
    </row>
    <row r="91" spans="2:10" x14ac:dyDescent="0.25">
      <c r="B91" t="s">
        <v>159</v>
      </c>
      <c r="F91">
        <f ca="1">F90+F89</f>
        <v>14387835.758146044</v>
      </c>
      <c r="G91">
        <f ca="1">G90+G89</f>
        <v>16230334.087183423</v>
      </c>
      <c r="H91">
        <f ca="1">H90+H89</f>
        <v>18472340.903961997</v>
      </c>
      <c r="I91">
        <f ca="1">I90+I89</f>
        <v>21275198.858082924</v>
      </c>
      <c r="J91">
        <f ca="1">J90+J89</f>
        <v>24259957.247001342</v>
      </c>
    </row>
    <row r="93" spans="2:10" x14ac:dyDescent="0.25">
      <c r="B93" s="4" t="s">
        <v>160</v>
      </c>
    </row>
    <row r="94" spans="2:10" x14ac:dyDescent="0.25">
      <c r="B94" t="s">
        <v>161</v>
      </c>
      <c r="F94">
        <f>Model!F48</f>
        <v>4018115</v>
      </c>
      <c r="G94">
        <f>F96</f>
        <v>3418335.5415980876</v>
      </c>
      <c r="H94">
        <f>G96</f>
        <v>3113789.5861260681</v>
      </c>
      <c r="I94">
        <f>H96</f>
        <v>2885901.5853579501</v>
      </c>
      <c r="J94">
        <f>I96</f>
        <v>2725809.4834346953</v>
      </c>
    </row>
    <row r="95" spans="2:10" x14ac:dyDescent="0.25">
      <c r="B95" t="s">
        <v>162</v>
      </c>
      <c r="F95">
        <f>F96-F94</f>
        <v>-599779.45840191236</v>
      </c>
      <c r="G95">
        <f>G96-G94</f>
        <v>-304545.9554720195</v>
      </c>
      <c r="H95">
        <f>H96-H94</f>
        <v>-227888.00076811807</v>
      </c>
      <c r="I95">
        <f>I96-I94</f>
        <v>-160092.10192325478</v>
      </c>
      <c r="J95">
        <f>J96-J94</f>
        <v>-16491.50080213882</v>
      </c>
    </row>
    <row r="96" spans="2:10" x14ac:dyDescent="0.25">
      <c r="B96" t="s">
        <v>163</v>
      </c>
      <c r="F96">
        <f>F67*F34</f>
        <v>3418335.5415980876</v>
      </c>
      <c r="G96">
        <f>G67*G34</f>
        <v>3113789.5861260681</v>
      </c>
      <c r="H96">
        <f>H67*H34</f>
        <v>2885901.5853579501</v>
      </c>
      <c r="I96">
        <f>I67*I34</f>
        <v>2725809.4834346953</v>
      </c>
      <c r="J96">
        <f>J67*J34</f>
        <v>2709317.9826325565</v>
      </c>
    </row>
    <row r="99" spans="2:10" x14ac:dyDescent="0.25">
      <c r="B99" s="4" t="s">
        <v>164</v>
      </c>
    </row>
    <row r="100" spans="2:10" x14ac:dyDescent="0.25">
      <c r="B100" s="4" t="s">
        <v>40</v>
      </c>
    </row>
    <row r="101" spans="2:10" x14ac:dyDescent="0.25">
      <c r="B101" t="s">
        <v>165</v>
      </c>
      <c r="F101">
        <f>Model!F50</f>
        <v>24180959</v>
      </c>
      <c r="G101">
        <f>F103</f>
        <v>19344767.199999999</v>
      </c>
      <c r="H101">
        <f>G103</f>
        <v>14508575.399999999</v>
      </c>
      <c r="I101">
        <f>H103</f>
        <v>9672383.5999999978</v>
      </c>
      <c r="J101">
        <f>I103</f>
        <v>4836191.799999998</v>
      </c>
    </row>
    <row r="102" spans="2:10" x14ac:dyDescent="0.25">
      <c r="B102" t="s">
        <v>166</v>
      </c>
      <c r="F102">
        <f>-F42</f>
        <v>-4836191.8</v>
      </c>
      <c r="G102">
        <f>-G42</f>
        <v>-4836191.8</v>
      </c>
      <c r="H102">
        <f>-H42</f>
        <v>-4836191.8</v>
      </c>
      <c r="I102">
        <f>-I42</f>
        <v>-4836191.8</v>
      </c>
      <c r="J102">
        <f>-J42</f>
        <v>-4836191.8</v>
      </c>
    </row>
    <row r="103" spans="2:10" x14ac:dyDescent="0.25">
      <c r="B103" t="s">
        <v>167</v>
      </c>
      <c r="F103">
        <f>SUM(F101:F102)</f>
        <v>19344767.199999999</v>
      </c>
      <c r="G103">
        <f>SUM(G101:G102)</f>
        <v>14508575.399999999</v>
      </c>
      <c r="H103">
        <f>SUM(H101:H102)</f>
        <v>9672383.5999999978</v>
      </c>
      <c r="I103">
        <f>SUM(I101:I102)</f>
        <v>4836191.799999998</v>
      </c>
      <c r="J103">
        <f>SUM(J101:J102)</f>
        <v>0</v>
      </c>
    </row>
    <row r="105" spans="2:10" x14ac:dyDescent="0.25">
      <c r="B105" t="s">
        <v>168</v>
      </c>
      <c r="F105">
        <f>AVERAGE(F103,F101)*F39</f>
        <v>3199140.8757000002</v>
      </c>
      <c r="G105">
        <f>AVERAGE(G103,G101)*G39</f>
        <v>2488220.6810999992</v>
      </c>
      <c r="H105">
        <f>AVERAGE(H103,H101)*H39</f>
        <v>1777300.4864999996</v>
      </c>
      <c r="I105">
        <f>AVERAGE(I103,I101)*I39</f>
        <v>1066380.2918999996</v>
      </c>
      <c r="J105">
        <f>AVERAGE(J103,J101)*J39</f>
        <v>0</v>
      </c>
    </row>
    <row r="107" spans="2:10" x14ac:dyDescent="0.25">
      <c r="B107" s="4" t="s">
        <v>46</v>
      </c>
    </row>
    <row r="108" spans="2:10" x14ac:dyDescent="0.25">
      <c r="B108" t="s">
        <v>165</v>
      </c>
      <c r="F108">
        <f>Model!F57</f>
        <v>9966119</v>
      </c>
      <c r="G108">
        <f>Model!G57</f>
        <v>6644079.3333333302</v>
      </c>
      <c r="H108">
        <f>Model!H57</f>
        <v>3322039.6666666605</v>
      </c>
      <c r="I108">
        <f>Model!I57</f>
        <v>-9.3132257461547852E-9</v>
      </c>
      <c r="J108">
        <f>Model!J57</f>
        <v>-9.3132257461547852E-9</v>
      </c>
    </row>
    <row r="109" spans="2:10" x14ac:dyDescent="0.25">
      <c r="B109" t="s">
        <v>166</v>
      </c>
      <c r="F109">
        <f>-F41</f>
        <v>-3322039.6666666698</v>
      </c>
      <c r="G109">
        <f>-G41</f>
        <v>-3322039.6666666698</v>
      </c>
      <c r="H109">
        <f>-H41</f>
        <v>-3322039.6666666698</v>
      </c>
      <c r="I109">
        <f>-I41</f>
        <v>0</v>
      </c>
      <c r="J109">
        <f>-J41</f>
        <v>0</v>
      </c>
    </row>
    <row r="110" spans="2:10" x14ac:dyDescent="0.25">
      <c r="B110" t="s">
        <v>167</v>
      </c>
      <c r="F110">
        <f>SUM(F108:F109)</f>
        <v>6644079.3333333302</v>
      </c>
      <c r="G110">
        <f>SUM(G108:G109)</f>
        <v>3322039.6666666605</v>
      </c>
      <c r="H110">
        <f>SUM(H108:H109)</f>
        <v>-9.3132257461547852E-9</v>
      </c>
      <c r="I110">
        <f>SUM(I108:I109)</f>
        <v>-9.3132257461547852E-9</v>
      </c>
      <c r="J110">
        <f>SUM(J108:J109)</f>
        <v>-9.3132257461547852E-9</v>
      </c>
    </row>
    <row r="112" spans="2:10" x14ac:dyDescent="0.25">
      <c r="B112" t="s">
        <v>168</v>
      </c>
      <c r="F112">
        <f>AVERAGE(F108,F110)*F39</f>
        <v>1220849.5774999997</v>
      </c>
      <c r="G112">
        <f>AVERAGE(G108,G110)*G39</f>
        <v>732509.74649999931</v>
      </c>
      <c r="H112">
        <f>AVERAGE(H108,H110)*H39</f>
        <v>244169.91549999884</v>
      </c>
      <c r="I112">
        <f>AVERAGE(I108,I110)*I39</f>
        <v>-1.3690441846847534E-9</v>
      </c>
      <c r="J112">
        <f>AVERAGE(J108,J110)*J39</f>
        <v>0</v>
      </c>
    </row>
    <row r="114" spans="2:10" x14ac:dyDescent="0.25">
      <c r="B114" s="4" t="s">
        <v>169</v>
      </c>
    </row>
    <row r="115" spans="2:10" x14ac:dyDescent="0.25">
      <c r="B115" t="s">
        <v>165</v>
      </c>
      <c r="F115">
        <f>Model!F49</f>
        <v>4013538</v>
      </c>
      <c r="G115">
        <f>F117</f>
        <v>3210830.4</v>
      </c>
      <c r="H115">
        <f>G117</f>
        <v>2408122.7999999998</v>
      </c>
      <c r="I115">
        <f>H117</f>
        <v>1605415.1999999997</v>
      </c>
      <c r="J115">
        <f>I117</f>
        <v>802707.59999999974</v>
      </c>
    </row>
    <row r="116" spans="2:10" x14ac:dyDescent="0.25">
      <c r="B116" t="s">
        <v>166</v>
      </c>
      <c r="F116">
        <f>-F37</f>
        <v>-802707.6</v>
      </c>
      <c r="G116">
        <f>-G37</f>
        <v>-802707.6</v>
      </c>
      <c r="H116">
        <f>-H37</f>
        <v>-802707.6</v>
      </c>
      <c r="I116">
        <f>-I37</f>
        <v>-802707.6</v>
      </c>
      <c r="J116">
        <f>-J37</f>
        <v>-802707.6</v>
      </c>
    </row>
    <row r="117" spans="2:10" x14ac:dyDescent="0.25">
      <c r="B117" t="s">
        <v>167</v>
      </c>
      <c r="F117">
        <f>SUM(F115:F116)</f>
        <v>3210830.4</v>
      </c>
      <c r="G117">
        <f>SUM(G115:G116)</f>
        <v>2408122.7999999998</v>
      </c>
      <c r="H117">
        <f>SUM(H115:H116)</f>
        <v>1605415.1999999997</v>
      </c>
      <c r="I117">
        <f>SUM(I115:I116)</f>
        <v>802707.59999999974</v>
      </c>
      <c r="J117">
        <f>SUM(J115:J116)</f>
        <v>0</v>
      </c>
    </row>
    <row r="119" spans="2:10" x14ac:dyDescent="0.25">
      <c r="B119" t="s">
        <v>168</v>
      </c>
      <c r="F119">
        <f>F36*AVERAGE(F115,F117)</f>
        <v>903046.05</v>
      </c>
      <c r="G119">
        <f>G36*AVERAGE(G115,G117)</f>
        <v>618084.85199999996</v>
      </c>
      <c r="H119">
        <f>H36*AVERAGE(H115,H117)</f>
        <v>421421.48999999993</v>
      </c>
      <c r="I119">
        <f>I36*AVERAGE(I115,I117)</f>
        <v>240812.27999999994</v>
      </c>
      <c r="J119">
        <f>J36*AVERAGE(J115,J117)</f>
        <v>72243.683999999979</v>
      </c>
    </row>
    <row r="121" spans="2:10" x14ac:dyDescent="0.25">
      <c r="B121" s="4" t="s">
        <v>168</v>
      </c>
    </row>
    <row r="122" spans="2:10" x14ac:dyDescent="0.25">
      <c r="B122" t="s">
        <v>170</v>
      </c>
      <c r="F122">
        <f>F105</f>
        <v>3199140.8757000002</v>
      </c>
      <c r="G122">
        <f>G105</f>
        <v>2488220.6810999992</v>
      </c>
      <c r="H122">
        <f>H105</f>
        <v>1777300.4864999996</v>
      </c>
      <c r="I122">
        <f>I105</f>
        <v>1066380.2918999996</v>
      </c>
      <c r="J122">
        <f>J105</f>
        <v>0</v>
      </c>
    </row>
    <row r="123" spans="2:10" x14ac:dyDescent="0.25">
      <c r="B123" t="str">
        <f>B107</f>
        <v>Bond Payable (Current)</v>
      </c>
      <c r="F123">
        <f>F112</f>
        <v>1220849.5774999997</v>
      </c>
      <c r="G123">
        <f>G112</f>
        <v>732509.74649999931</v>
      </c>
      <c r="H123">
        <f>H112</f>
        <v>244169.91549999884</v>
      </c>
      <c r="I123">
        <f>I112</f>
        <v>-1.3690441846847534E-9</v>
      </c>
      <c r="J123">
        <f>J112</f>
        <v>0</v>
      </c>
    </row>
    <row r="124" spans="2:10" x14ac:dyDescent="0.25">
      <c r="B124" t="s">
        <v>171</v>
      </c>
      <c r="F124">
        <f ca="1">F36*(AVERAGE(Model!G106,Model!G108))</f>
        <v>9633515.3570377436</v>
      </c>
      <c r="G124">
        <f ca="1">G36*(AVERAGE(Model!H106,Model!H108))</f>
        <v>12353977.679771643</v>
      </c>
      <c r="H124">
        <f ca="1">H36*(AVERAGE(Model!I106,Model!I108))</f>
        <v>13454575.534278324</v>
      </c>
      <c r="I124">
        <f ca="1">I36*(AVERAGE(Model!J106,Model!J108))</f>
        <v>12625760.64507914</v>
      </c>
      <c r="J124">
        <f ca="1">J36*(AVERAGE(Model!K106,Model!K108))</f>
        <v>11282070.844765317</v>
      </c>
    </row>
    <row r="125" spans="2:10" x14ac:dyDescent="0.25">
      <c r="B125" t="s">
        <v>172</v>
      </c>
      <c r="F125">
        <f>F119</f>
        <v>903046.05</v>
      </c>
      <c r="G125">
        <f>G119</f>
        <v>618084.85199999996</v>
      </c>
      <c r="H125">
        <f>H119</f>
        <v>421421.48999999993</v>
      </c>
      <c r="I125">
        <f>I119</f>
        <v>240812.27999999994</v>
      </c>
      <c r="J125">
        <f>J119</f>
        <v>72243.683999999979</v>
      </c>
    </row>
    <row r="126" spans="2:10" x14ac:dyDescent="0.25">
      <c r="B126" t="s">
        <v>173</v>
      </c>
      <c r="F126">
        <f ca="1">SUM(F122:F125)</f>
        <v>14956551.860237744</v>
      </c>
      <c r="G126">
        <f ca="1">SUM(G122:G125)</f>
        <v>16192792.959371641</v>
      </c>
      <c r="H126">
        <f ca="1">SUM(H122:H125)</f>
        <v>15897467.426278323</v>
      </c>
      <c r="I126">
        <f ca="1">SUM(I122:I125)</f>
        <v>13932953.216979137</v>
      </c>
      <c r="J126">
        <f ca="1">SUM(J122:J125)</f>
        <v>11354314.528765317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C57E-1FF6-42F3-BA9C-28490FF7CECE}">
  <dimension ref="C2:I79"/>
  <sheetViews>
    <sheetView tabSelected="1" workbookViewId="0">
      <selection activeCell="G7" sqref="G7"/>
    </sheetView>
  </sheetViews>
  <sheetFormatPr defaultRowHeight="15" x14ac:dyDescent="0.25"/>
  <cols>
    <col min="1" max="1" width="3" customWidth="1"/>
    <col min="3" max="3" width="65" bestFit="1" customWidth="1"/>
    <col min="4" max="4" width="15.42578125" bestFit="1" customWidth="1"/>
    <col min="5" max="5" width="14.28515625" bestFit="1" customWidth="1"/>
    <col min="6" max="6" width="23.140625" bestFit="1" customWidth="1"/>
    <col min="7" max="7" width="13.85546875" bestFit="1" customWidth="1"/>
    <col min="8" max="9" width="14.28515625" bestFit="1" customWidth="1"/>
  </cols>
  <sheetData>
    <row r="2" spans="3:7" x14ac:dyDescent="0.25">
      <c r="C2" t="s">
        <v>0</v>
      </c>
      <c r="F2" t="s">
        <v>182</v>
      </c>
    </row>
    <row r="3" spans="3:7" x14ac:dyDescent="0.25">
      <c r="C3" t="s">
        <v>239</v>
      </c>
      <c r="F3" t="s">
        <v>183</v>
      </c>
      <c r="G3" s="10">
        <f>D38</f>
        <v>0.15490000000000001</v>
      </c>
    </row>
    <row r="4" spans="3:7" x14ac:dyDescent="0.25">
      <c r="F4" t="s">
        <v>184</v>
      </c>
      <c r="G4" s="10">
        <f>D41</f>
        <v>9.4700000000000006E-2</v>
      </c>
    </row>
    <row r="5" spans="3:7" x14ac:dyDescent="0.25">
      <c r="F5" t="s">
        <v>241</v>
      </c>
      <c r="G5">
        <f>D73</f>
        <v>531258923.03897715</v>
      </c>
    </row>
    <row r="6" spans="3:7" x14ac:dyDescent="0.25">
      <c r="C6" t="s">
        <v>226</v>
      </c>
      <c r="F6" t="s">
        <v>242</v>
      </c>
      <c r="G6">
        <f>D76</f>
        <v>495018573.03897715</v>
      </c>
    </row>
    <row r="7" spans="3:7" x14ac:dyDescent="0.25">
      <c r="D7" s="10"/>
      <c r="F7" t="s">
        <v>240</v>
      </c>
      <c r="G7">
        <v>917.4</v>
      </c>
    </row>
    <row r="8" spans="3:7" x14ac:dyDescent="0.25">
      <c r="C8" t="s">
        <v>185</v>
      </c>
      <c r="D8" s="10"/>
    </row>
    <row r="9" spans="3:7" x14ac:dyDescent="0.25">
      <c r="C9" t="s">
        <v>186</v>
      </c>
      <c r="D9" s="10">
        <v>5.5199999999999999E-2</v>
      </c>
    </row>
    <row r="10" spans="3:7" x14ac:dyDescent="0.25">
      <c r="C10" t="s">
        <v>187</v>
      </c>
      <c r="D10" s="10">
        <v>8.4099999999999994E-2</v>
      </c>
    </row>
    <row r="11" spans="3:7" x14ac:dyDescent="0.25">
      <c r="C11" t="s">
        <v>188</v>
      </c>
      <c r="D11" s="10">
        <v>0.12640000000000001</v>
      </c>
    </row>
    <row r="12" spans="3:7" x14ac:dyDescent="0.25">
      <c r="C12" t="s">
        <v>189</v>
      </c>
      <c r="D12" s="10">
        <v>9.4700000000000006E-2</v>
      </c>
    </row>
    <row r="13" spans="3:7" x14ac:dyDescent="0.25">
      <c r="D13" s="10"/>
    </row>
    <row r="14" spans="3:7" x14ac:dyDescent="0.25">
      <c r="C14" t="s">
        <v>190</v>
      </c>
      <c r="D14" s="10"/>
    </row>
    <row r="15" spans="3:7" x14ac:dyDescent="0.25">
      <c r="C15" t="s">
        <v>191</v>
      </c>
      <c r="D15" s="10">
        <v>0.43</v>
      </c>
    </row>
    <row r="16" spans="3:7" x14ac:dyDescent="0.25">
      <c r="C16" t="s">
        <v>192</v>
      </c>
      <c r="D16">
        <v>68087065</v>
      </c>
    </row>
    <row r="17" spans="3:4" x14ac:dyDescent="0.25">
      <c r="C17" t="s">
        <v>193</v>
      </c>
      <c r="D17">
        <v>58628000</v>
      </c>
    </row>
    <row r="18" spans="3:4" x14ac:dyDescent="0.25">
      <c r="C18" t="s">
        <v>194</v>
      </c>
      <c r="D18">
        <f>D17/D16</f>
        <v>0.86107397932338547</v>
      </c>
    </row>
    <row r="19" spans="3:4" x14ac:dyDescent="0.25">
      <c r="C19" t="s">
        <v>195</v>
      </c>
      <c r="D19" s="10">
        <f>'Assumption sheet'!F33</f>
        <v>0.34</v>
      </c>
    </row>
    <row r="20" spans="3:4" x14ac:dyDescent="0.25">
      <c r="C20" t="s">
        <v>196</v>
      </c>
      <c r="D20">
        <v>0.76</v>
      </c>
    </row>
    <row r="22" spans="3:4" x14ac:dyDescent="0.25">
      <c r="C22" t="s">
        <v>197</v>
      </c>
    </row>
    <row r="23" spans="3:4" x14ac:dyDescent="0.25">
      <c r="C23" t="s">
        <v>198</v>
      </c>
      <c r="D23" s="10">
        <v>0.19070000000000001</v>
      </c>
    </row>
    <row r="26" spans="3:4" x14ac:dyDescent="0.25">
      <c r="C26" t="s">
        <v>238</v>
      </c>
      <c r="D26">
        <v>12589544</v>
      </c>
    </row>
    <row r="27" spans="3:4" x14ac:dyDescent="0.25">
      <c r="C27" t="s">
        <v>236</v>
      </c>
      <c r="D27">
        <v>65820275</v>
      </c>
    </row>
    <row r="28" spans="3:4" x14ac:dyDescent="0.25">
      <c r="C28" t="s">
        <v>237</v>
      </c>
      <c r="D28">
        <v>68087065</v>
      </c>
    </row>
    <row r="29" spans="3:4" x14ac:dyDescent="0.25">
      <c r="C29" t="s">
        <v>199</v>
      </c>
      <c r="D29">
        <v>66953670</v>
      </c>
    </row>
    <row r="30" spans="3:4" x14ac:dyDescent="0.25">
      <c r="C30" t="s">
        <v>200</v>
      </c>
      <c r="D30" s="10">
        <v>0.188</v>
      </c>
    </row>
    <row r="31" spans="3:4" x14ac:dyDescent="0.25">
      <c r="C31" t="s">
        <v>201</v>
      </c>
      <c r="D31" s="10">
        <v>0.1241</v>
      </c>
    </row>
    <row r="32" spans="3:4" x14ac:dyDescent="0.25">
      <c r="D32" s="10"/>
    </row>
    <row r="33" spans="3:9" x14ac:dyDescent="0.25">
      <c r="C33" t="s">
        <v>202</v>
      </c>
      <c r="D33" s="10"/>
    </row>
    <row r="34" spans="3:9" x14ac:dyDescent="0.25">
      <c r="C34" t="s">
        <v>203</v>
      </c>
      <c r="D34" s="10">
        <v>0.5373</v>
      </c>
    </row>
    <row r="35" spans="3:9" x14ac:dyDescent="0.25">
      <c r="C35" t="s">
        <v>204</v>
      </c>
      <c r="D35" s="10">
        <v>0.4627</v>
      </c>
    </row>
    <row r="37" spans="3:9" x14ac:dyDescent="0.25">
      <c r="C37" t="s">
        <v>183</v>
      </c>
    </row>
    <row r="38" spans="3:9" x14ac:dyDescent="0.25">
      <c r="C38" t="s">
        <v>205</v>
      </c>
      <c r="D38" s="10">
        <v>0.15490000000000001</v>
      </c>
    </row>
    <row r="39" spans="3:9" x14ac:dyDescent="0.25">
      <c r="D39" s="10"/>
    </row>
    <row r="40" spans="3:9" x14ac:dyDescent="0.25">
      <c r="C40" t="s">
        <v>206</v>
      </c>
      <c r="D40" s="10"/>
    </row>
    <row r="41" spans="3:9" x14ac:dyDescent="0.25">
      <c r="C41" t="s">
        <v>207</v>
      </c>
      <c r="D41" s="10">
        <v>9.4700000000000006E-2</v>
      </c>
    </row>
    <row r="44" spans="3:9" x14ac:dyDescent="0.25">
      <c r="C44" t="s">
        <v>225</v>
      </c>
    </row>
    <row r="46" spans="3:9" x14ac:dyDescent="0.25">
      <c r="C46" t="s">
        <v>208</v>
      </c>
      <c r="E46" s="12">
        <v>2026</v>
      </c>
      <c r="F46" s="12">
        <v>2027</v>
      </c>
      <c r="G46" s="12">
        <v>2028</v>
      </c>
      <c r="H46" s="12">
        <v>2029</v>
      </c>
      <c r="I46" s="12">
        <v>2030</v>
      </c>
    </row>
    <row r="47" spans="3:9" x14ac:dyDescent="0.25">
      <c r="C47" t="s">
        <v>209</v>
      </c>
      <c r="E47">
        <f>Model!G16</f>
        <v>56611769.460378796</v>
      </c>
      <c r="F47">
        <f>Model!H16</f>
        <v>64749793.084828824</v>
      </c>
      <c r="G47">
        <f>Model!I16</f>
        <v>70658469.650154307</v>
      </c>
      <c r="H47">
        <f>Model!J16</f>
        <v>76738255.603431776</v>
      </c>
      <c r="I47">
        <f>Model!K16</f>
        <v>82589459.182181388</v>
      </c>
    </row>
    <row r="48" spans="3:9" x14ac:dyDescent="0.25">
      <c r="C48" t="s">
        <v>210</v>
      </c>
      <c r="E48" s="10">
        <f>'Assumption sheet'!F33</f>
        <v>0.34</v>
      </c>
      <c r="F48" s="10">
        <f>'Assumption sheet'!G33</f>
        <v>0.34</v>
      </c>
      <c r="G48" s="10">
        <f>'Assumption sheet'!H33</f>
        <v>0.34</v>
      </c>
      <c r="H48" s="10">
        <f>'Assumption sheet'!I33</f>
        <v>0.34</v>
      </c>
      <c r="I48" s="10">
        <f>'Assumption sheet'!J33</f>
        <v>0.34</v>
      </c>
    </row>
    <row r="49" spans="3:9" x14ac:dyDescent="0.25">
      <c r="C49" t="s">
        <v>211</v>
      </c>
      <c r="E49">
        <f>E47*(1-E48)</f>
        <v>37363767.843850002</v>
      </c>
      <c r="F49">
        <f t="shared" ref="F49:I49" si="0">F47*(1-F48)</f>
        <v>42734863.435987018</v>
      </c>
      <c r="G49">
        <f t="shared" si="0"/>
        <v>46634589.969101839</v>
      </c>
      <c r="H49">
        <f t="shared" si="0"/>
        <v>50647248.698264964</v>
      </c>
      <c r="I49">
        <f t="shared" si="0"/>
        <v>54509043.06023971</v>
      </c>
    </row>
    <row r="50" spans="3:9" x14ac:dyDescent="0.25">
      <c r="C50" t="s">
        <v>235</v>
      </c>
      <c r="E50">
        <f>-Model!G15</f>
        <v>9731551.6237812005</v>
      </c>
      <c r="F50">
        <f>-Model!H15</f>
        <v>8827196.1185461562</v>
      </c>
      <c r="G50">
        <f>-Model!I15</f>
        <v>8107690.7722757002</v>
      </c>
      <c r="H50">
        <f>-Model!J15</f>
        <v>7583393.3362062769</v>
      </c>
      <c r="I50">
        <f>-Model!K15</f>
        <v>7344766.8460368263</v>
      </c>
    </row>
    <row r="51" spans="3:9" x14ac:dyDescent="0.25">
      <c r="C51" t="s">
        <v>234</v>
      </c>
      <c r="E51">
        <f>-'Assumption sheet'!F65</f>
        <v>-3653599.6504159998</v>
      </c>
      <c r="F51">
        <f>-'Assumption sheet'!G65</f>
        <v>-3751430.1940124994</v>
      </c>
      <c r="G51">
        <f>-'Assumption sheet'!H65</f>
        <v>-4309557.4261404006</v>
      </c>
      <c r="H51">
        <f>-'Assumption sheet'!I65</f>
        <v>-4915191.6374853617</v>
      </c>
      <c r="I51">
        <f>-'Assumption sheet'!J65</f>
        <v>-7069908.4993345207</v>
      </c>
    </row>
    <row r="52" spans="3:9" x14ac:dyDescent="0.25">
      <c r="C52" t="s">
        <v>233</v>
      </c>
      <c r="E52">
        <f>SUM(Model!G69:G71)</f>
        <v>-29473788.429493371</v>
      </c>
      <c r="F52">
        <f>SUM(Model!H69:H71)</f>
        <v>-23778736.026320912</v>
      </c>
      <c r="G52">
        <f>SUM(Model!I69:I71)</f>
        <v>-1592168.8396508228</v>
      </c>
      <c r="H52">
        <f>SUM(Model!J69:J71)</f>
        <v>-12624530.970099773</v>
      </c>
      <c r="I52">
        <f>SUM(Model!K69:K71)</f>
        <v>-6958228.0029618517</v>
      </c>
    </row>
    <row r="53" spans="3:9" x14ac:dyDescent="0.25">
      <c r="C53" t="s">
        <v>212</v>
      </c>
      <c r="E53">
        <f>SUM(E49:E52)</f>
        <v>13967931.387721833</v>
      </c>
      <c r="F53">
        <f t="shared" ref="F53:I53" si="1">SUM(F49:F52)</f>
        <v>24031893.334199764</v>
      </c>
      <c r="G53">
        <f t="shared" si="1"/>
        <v>48840554.475586317</v>
      </c>
      <c r="H53">
        <f t="shared" si="1"/>
        <v>40690919.426886111</v>
      </c>
      <c r="I53">
        <f t="shared" si="1"/>
        <v>47825673.403980166</v>
      </c>
    </row>
    <row r="55" spans="3:9" x14ac:dyDescent="0.25">
      <c r="C55" t="s">
        <v>213</v>
      </c>
    </row>
    <row r="57" spans="3:9" x14ac:dyDescent="0.25">
      <c r="C57" t="s">
        <v>214</v>
      </c>
      <c r="E57" s="1">
        <v>1</v>
      </c>
      <c r="F57" s="1">
        <v>2</v>
      </c>
      <c r="G57" s="1">
        <v>3</v>
      </c>
      <c r="H57" s="1">
        <v>4</v>
      </c>
      <c r="I57" s="1">
        <v>5</v>
      </c>
    </row>
    <row r="58" spans="3:9" x14ac:dyDescent="0.25">
      <c r="C58" t="s">
        <v>215</v>
      </c>
      <c r="E58">
        <f>1/(1+$D$38)^E57</f>
        <v>0.86587583340548957</v>
      </c>
      <c r="F58">
        <f t="shared" ref="F58:I58" si="2">1/(1+$D$38)^F57</f>
        <v>0.74974095887565118</v>
      </c>
      <c r="G58">
        <f t="shared" si="2"/>
        <v>0.64918257760468545</v>
      </c>
      <c r="H58">
        <f t="shared" si="2"/>
        <v>0.56211150541578092</v>
      </c>
      <c r="I58">
        <f t="shared" si="2"/>
        <v>0.48671876821870369</v>
      </c>
    </row>
    <row r="59" spans="3:9" x14ac:dyDescent="0.25">
      <c r="C59" t="s">
        <v>216</v>
      </c>
      <c r="E59">
        <f>E53*E58</f>
        <v>12094494.231294338</v>
      </c>
      <c r="F59">
        <f t="shared" ref="F59:I59" si="3">F53*F58</f>
        <v>18017694.751980301</v>
      </c>
      <c r="G59">
        <f t="shared" si="3"/>
        <v>31706437.046103183</v>
      </c>
      <c r="H59">
        <f t="shared" si="3"/>
        <v>22872833.975799199</v>
      </c>
      <c r="I59">
        <f t="shared" si="3"/>
        <v>23277652.848415244</v>
      </c>
    </row>
    <row r="61" spans="3:9" x14ac:dyDescent="0.25">
      <c r="C61" t="s">
        <v>217</v>
      </c>
      <c r="D61">
        <f>SUM(E59:I59)</f>
        <v>107969112.85359226</v>
      </c>
    </row>
    <row r="63" spans="3:9" x14ac:dyDescent="0.25">
      <c r="C63" t="s">
        <v>218</v>
      </c>
    </row>
    <row r="64" spans="3:9" x14ac:dyDescent="0.25">
      <c r="C64" t="s">
        <v>232</v>
      </c>
      <c r="D64">
        <f>I53</f>
        <v>47825673.403980166</v>
      </c>
    </row>
    <row r="65" spans="3:4" x14ac:dyDescent="0.25">
      <c r="C65" t="s">
        <v>219</v>
      </c>
      <c r="D65">
        <f>(D64*(1+D41))/(D38-D41)</f>
        <v>869680476.33450317</v>
      </c>
    </row>
    <row r="66" spans="3:4" x14ac:dyDescent="0.25">
      <c r="C66" t="s">
        <v>220</v>
      </c>
      <c r="D66">
        <f>D65*I58</f>
        <v>423289810.18538487</v>
      </c>
    </row>
    <row r="67" spans="3:4" x14ac:dyDescent="0.25">
      <c r="C67" t="s">
        <v>221</v>
      </c>
      <c r="D67" s="10"/>
    </row>
    <row r="69" spans="3:4" x14ac:dyDescent="0.25">
      <c r="C69" t="s">
        <v>222</v>
      </c>
      <c r="D69">
        <f>D66+D61</f>
        <v>531258923.03897715</v>
      </c>
    </row>
    <row r="71" spans="3:4" x14ac:dyDescent="0.25">
      <c r="C71" t="s">
        <v>223</v>
      </c>
    </row>
    <row r="73" spans="3:4" x14ac:dyDescent="0.25">
      <c r="C73" t="s">
        <v>224</v>
      </c>
      <c r="D73">
        <f>D69</f>
        <v>531258923.03897715</v>
      </c>
    </row>
    <row r="74" spans="3:4" x14ac:dyDescent="0.25">
      <c r="C74" t="s">
        <v>231</v>
      </c>
      <c r="D74">
        <f>-(Model!F49+Model!F50+Model!F56+Model!F57)</f>
        <v>-68087065</v>
      </c>
    </row>
    <row r="75" spans="3:4" x14ac:dyDescent="0.25">
      <c r="C75" t="s">
        <v>227</v>
      </c>
      <c r="D75">
        <f>Model!F36</f>
        <v>31846715</v>
      </c>
    </row>
    <row r="76" spans="3:4" x14ac:dyDescent="0.25">
      <c r="C76" t="s">
        <v>228</v>
      </c>
      <c r="D76">
        <f>SUM(D73:D75)</f>
        <v>495018573.03897715</v>
      </c>
    </row>
    <row r="78" spans="3:4" x14ac:dyDescent="0.25">
      <c r="C78" t="s">
        <v>229</v>
      </c>
      <c r="D78">
        <v>2509372139</v>
      </c>
    </row>
    <row r="79" spans="3:4" x14ac:dyDescent="0.25">
      <c r="C79" t="s">
        <v>230</v>
      </c>
      <c r="D79">
        <f>(D76/D78)*1000</f>
        <v>197.26790034269092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7"/>
  <sheetViews>
    <sheetView zoomScaleNormal="100" workbookViewId="0">
      <pane ySplit="4" topLeftCell="A13" activePane="bottomLeft" state="frozen"/>
      <selection pane="bottomLeft" activeCell="E7" sqref="E7"/>
    </sheetView>
  </sheetViews>
  <sheetFormatPr defaultColWidth="8.5703125" defaultRowHeight="15" x14ac:dyDescent="0.25"/>
  <cols>
    <col min="1" max="1" width="4.42578125" style="1" customWidth="1"/>
    <col min="2" max="2" width="27.7109375" style="1" customWidth="1"/>
    <col min="5" max="9" width="9.5703125" style="1" customWidth="1"/>
  </cols>
  <sheetData>
    <row r="2" spans="2:9" x14ac:dyDescent="0.25">
      <c r="B2" t="s">
        <v>0</v>
      </c>
    </row>
    <row r="3" spans="2:9" x14ac:dyDescent="0.25">
      <c r="B3" t="s">
        <v>1</v>
      </c>
    </row>
    <row r="4" spans="2:9" x14ac:dyDescent="0.25">
      <c r="B4" t="s">
        <v>174</v>
      </c>
      <c r="E4" s="3">
        <v>2026</v>
      </c>
      <c r="F4" s="3">
        <f>E4+1</f>
        <v>2027</v>
      </c>
      <c r="G4" s="3">
        <f>F4+1</f>
        <v>2028</v>
      </c>
      <c r="H4" s="3">
        <f>G4+1</f>
        <v>2029</v>
      </c>
      <c r="I4" s="3">
        <f>H4+1</f>
        <v>2030</v>
      </c>
    </row>
    <row r="7" spans="2:9" x14ac:dyDescent="0.25">
      <c r="B7" t="s">
        <v>175</v>
      </c>
      <c r="D7">
        <v>1</v>
      </c>
    </row>
    <row r="8" spans="2:9" x14ac:dyDescent="0.25">
      <c r="B8" t="s">
        <v>176</v>
      </c>
    </row>
    <row r="9" spans="2:9" x14ac:dyDescent="0.25">
      <c r="B9" t="s">
        <v>177</v>
      </c>
    </row>
    <row r="11" spans="2:9" x14ac:dyDescent="0.25">
      <c r="B11" s="4" t="s">
        <v>178</v>
      </c>
    </row>
    <row r="12" spans="2:9" x14ac:dyDescent="0.25">
      <c r="B12" t="s">
        <v>179</v>
      </c>
      <c r="E12" s="10">
        <f t="array" ref="E12">INDEX(E13:E15,S_scenario)</f>
        <v>0.18</v>
      </c>
      <c r="F12" s="10">
        <f t="array" ref="F12">INDEX(F13:F15,S_scenario)</f>
        <v>0.15</v>
      </c>
      <c r="G12" s="10">
        <f t="array" ref="G12">INDEX(G13:G15,S_scenario)</f>
        <v>0.12</v>
      </c>
      <c r="H12" s="10">
        <f t="array" ref="H12">INDEX(H13:H15,S_scenario)</f>
        <v>0.1</v>
      </c>
      <c r="I12" s="10">
        <f t="array" ref="I12">INDEX(I13:I15,S_scenario)</f>
        <v>9.5000000000000001E-2</v>
      </c>
    </row>
    <row r="13" spans="2:9" x14ac:dyDescent="0.25">
      <c r="B13" t="s">
        <v>175</v>
      </c>
      <c r="E13" s="10">
        <v>0.18</v>
      </c>
      <c r="F13" s="10">
        <v>0.15</v>
      </c>
      <c r="G13" s="10">
        <v>0.12</v>
      </c>
      <c r="H13" s="10">
        <v>0.1</v>
      </c>
      <c r="I13" s="10">
        <v>9.5000000000000001E-2</v>
      </c>
    </row>
    <row r="14" spans="2:9" x14ac:dyDescent="0.25">
      <c r="B14" t="s">
        <v>176</v>
      </c>
      <c r="E14" s="10">
        <v>0.14000000000000001</v>
      </c>
      <c r="F14" s="10">
        <v>0.11</v>
      </c>
      <c r="G14" s="10">
        <v>0.09</v>
      </c>
      <c r="H14" s="10">
        <v>7.4999999999999997E-2</v>
      </c>
      <c r="I14" s="10">
        <v>0.06</v>
      </c>
    </row>
    <row r="15" spans="2:9" x14ac:dyDescent="0.25">
      <c r="B15" t="s">
        <v>177</v>
      </c>
      <c r="E15" s="10">
        <v>0.25</v>
      </c>
      <c r="F15" s="10">
        <v>0.22</v>
      </c>
      <c r="G15" s="10">
        <v>0.18</v>
      </c>
      <c r="H15" s="10">
        <v>0.16</v>
      </c>
      <c r="I15" s="10">
        <v>0.15</v>
      </c>
    </row>
    <row r="17" spans="2:9" x14ac:dyDescent="0.25">
      <c r="B17" s="4" t="s">
        <v>180</v>
      </c>
    </row>
    <row r="18" spans="2:9" x14ac:dyDescent="0.25">
      <c r="B18" t="s">
        <v>179</v>
      </c>
      <c r="E18" s="11">
        <f t="array" ref="E18">INDEX(E19:E21,S_scenario)</f>
        <v>3.4</v>
      </c>
      <c r="F18" s="11">
        <f t="array" ref="F18">INDEX(F19:F21,S_scenario)</f>
        <v>3.45</v>
      </c>
      <c r="G18" s="11">
        <f t="array" ref="G18">INDEX(G19:G21,S_scenario)</f>
        <v>3.49</v>
      </c>
      <c r="H18" s="11">
        <f t="array" ref="H18">INDEX(H19:H21,S_scenario)</f>
        <v>3.53</v>
      </c>
      <c r="I18" s="11">
        <f t="array" ref="I18">INDEX(I19:I21,S_scenario)</f>
        <v>3.57</v>
      </c>
    </row>
    <row r="19" spans="2:9" x14ac:dyDescent="0.25">
      <c r="B19" t="s">
        <v>175</v>
      </c>
      <c r="E19">
        <v>3.4</v>
      </c>
      <c r="F19">
        <v>3.45</v>
      </c>
      <c r="G19">
        <v>3.49</v>
      </c>
      <c r="H19">
        <v>3.53</v>
      </c>
      <c r="I19">
        <v>3.57</v>
      </c>
    </row>
    <row r="20" spans="2:9" x14ac:dyDescent="0.25">
      <c r="B20" t="s">
        <v>176</v>
      </c>
      <c r="E20">
        <v>3.35</v>
      </c>
      <c r="F20">
        <v>3.32</v>
      </c>
      <c r="G20">
        <v>3.3</v>
      </c>
      <c r="H20">
        <v>3.3</v>
      </c>
      <c r="I20">
        <v>3.3</v>
      </c>
    </row>
    <row r="21" spans="2:9" x14ac:dyDescent="0.25">
      <c r="B21" t="s">
        <v>177</v>
      </c>
      <c r="E21">
        <v>3.75</v>
      </c>
      <c r="F21">
        <v>3.85</v>
      </c>
      <c r="G21">
        <v>3.92</v>
      </c>
      <c r="H21">
        <v>4.05</v>
      </c>
      <c r="I21">
        <v>4.1500000000000004</v>
      </c>
    </row>
    <row r="23" spans="2:9" x14ac:dyDescent="0.25">
      <c r="B23" s="4" t="s">
        <v>181</v>
      </c>
    </row>
    <row r="24" spans="2:9" x14ac:dyDescent="0.25">
      <c r="B24" t="s">
        <v>179</v>
      </c>
      <c r="E24">
        <f t="array" ref="E24">INDEX(E25:E27,S_scenario)</f>
        <v>1350</v>
      </c>
      <c r="F24">
        <f t="array" ref="F24">INDEX(F25:F27,S_scenario)</f>
        <v>1450</v>
      </c>
      <c r="G24">
        <f t="array" ref="G24">INDEX(G25:G27,S_scenario)</f>
        <v>1550</v>
      </c>
      <c r="H24">
        <f t="array" ref="H24">INDEX(H25:H27,S_scenario)</f>
        <v>1650</v>
      </c>
      <c r="I24">
        <f t="array" ref="I24">INDEX(I25:I27,S_scenario)</f>
        <v>1750</v>
      </c>
    </row>
    <row r="25" spans="2:9" x14ac:dyDescent="0.25">
      <c r="B25" t="s">
        <v>175</v>
      </c>
      <c r="E25">
        <v>1350</v>
      </c>
      <c r="F25">
        <v>1450</v>
      </c>
      <c r="G25">
        <v>1550</v>
      </c>
      <c r="H25">
        <v>1650</v>
      </c>
      <c r="I25">
        <v>1750</v>
      </c>
    </row>
    <row r="26" spans="2:9" x14ac:dyDescent="0.25">
      <c r="B26" t="s">
        <v>176</v>
      </c>
      <c r="E26">
        <v>1200</v>
      </c>
      <c r="F26">
        <v>1250</v>
      </c>
      <c r="G26">
        <v>1300</v>
      </c>
      <c r="H26">
        <v>1350</v>
      </c>
      <c r="I26">
        <v>1400</v>
      </c>
    </row>
    <row r="27" spans="2:9" x14ac:dyDescent="0.25">
      <c r="B27" t="s">
        <v>177</v>
      </c>
      <c r="E27">
        <v>1650</v>
      </c>
      <c r="F27">
        <v>1800</v>
      </c>
      <c r="G27">
        <v>1950</v>
      </c>
      <c r="H27">
        <v>2100</v>
      </c>
      <c r="I27">
        <v>2200</v>
      </c>
    </row>
  </sheetData>
  <pageMargins left="0.7" right="0.7" top="0.75" bottom="0.75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3</xdr:col>
                    <xdr:colOff>19050</xdr:colOff>
                    <xdr:row>5</xdr:row>
                    <xdr:rowOff>171450</xdr:rowOff>
                  </from>
                  <to>
                    <xdr:col>4</xdr:col>
                    <xdr:colOff>0</xdr:colOff>
                    <xdr:row>6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Model</vt:lpstr>
      <vt:lpstr>Assumption sheet</vt:lpstr>
      <vt:lpstr>DCF</vt:lpstr>
      <vt:lpstr>Scenario sheet</vt:lpstr>
      <vt:lpstr>l_scenario</vt:lpstr>
      <vt:lpstr>S_scenario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inioluwa imole-alli</dc:creator>
  <dc:description/>
  <cp:lastModifiedBy>inioluwa imole-alli</cp:lastModifiedBy>
  <cp:revision>0</cp:revision>
  <dcterms:created xsi:type="dcterms:W3CDTF">2026-07-02T11:34:27Z</dcterms:created>
  <dcterms:modified xsi:type="dcterms:W3CDTF">2026-07-05T15:44:36Z</dcterms:modified>
  <dc:language>en-US</dc:language>
</cp:coreProperties>
</file>